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AMDISGHAIER\Desktop\developpement\"/>
    </mc:Choice>
  </mc:AlternateContent>
  <xr:revisionPtr revIDLastSave="0" documentId="13_ncr:1_{D5C9AB57-5F75-4F19-A5C5-B85EF2E9D40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quipement" sheetId="2" r:id="rId1"/>
    <sheet name="Equipe de Fabrication" sheetId="18" r:id="rId2"/>
    <sheet name="BOM" sheetId="3" r:id="rId3"/>
  </sheets>
  <definedNames>
    <definedName name="Liste_code_param">BOM[Code paramétrage]</definedName>
    <definedName name="Machine">Equipement[[#Headers],[M2301]:[M04]]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3" l="1"/>
  <c r="A204" i="3" l="1"/>
  <c r="T204" i="3"/>
  <c r="T203" i="3" l="1"/>
  <c r="A203" i="3"/>
  <c r="T202" i="3"/>
  <c r="A202" i="3"/>
  <c r="T201" i="3"/>
  <c r="A201" i="3"/>
  <c r="T200" i="3"/>
  <c r="A200" i="3"/>
  <c r="T199" i="3"/>
  <c r="A199" i="3"/>
  <c r="T198" i="3"/>
  <c r="A198" i="3"/>
  <c r="T197" i="3"/>
  <c r="A197" i="3"/>
  <c r="T196" i="3"/>
  <c r="A196" i="3"/>
  <c r="T195" i="3"/>
  <c r="A195" i="3"/>
  <c r="T194" i="3"/>
  <c r="A194" i="3"/>
  <c r="T193" i="3"/>
  <c r="A193" i="3"/>
  <c r="T192" i="3"/>
  <c r="A192" i="3"/>
  <c r="T191" i="3"/>
  <c r="A191" i="3"/>
  <c r="T190" i="3"/>
  <c r="A190" i="3"/>
  <c r="T189" i="3"/>
  <c r="A189" i="3"/>
  <c r="T188" i="3"/>
  <c r="A188" i="3"/>
  <c r="T187" i="3"/>
  <c r="A187" i="3"/>
  <c r="T186" i="3"/>
  <c r="A186" i="3"/>
  <c r="T185" i="3"/>
  <c r="A185" i="3"/>
  <c r="T184" i="3"/>
  <c r="A184" i="3"/>
  <c r="T183" i="3"/>
  <c r="A183" i="3"/>
  <c r="T182" i="3"/>
  <c r="A182" i="3"/>
  <c r="T181" i="3"/>
  <c r="A181" i="3"/>
  <c r="T180" i="3"/>
  <c r="A180" i="3"/>
  <c r="T179" i="3"/>
  <c r="A179" i="3"/>
  <c r="T178" i="3"/>
  <c r="A178" i="3"/>
  <c r="T177" i="3"/>
  <c r="A177" i="3"/>
  <c r="T176" i="3"/>
  <c r="A176" i="3"/>
  <c r="T175" i="3"/>
  <c r="A175" i="3"/>
  <c r="T174" i="3"/>
  <c r="A174" i="3"/>
  <c r="T173" i="3"/>
  <c r="A173" i="3"/>
  <c r="T172" i="3"/>
  <c r="A172" i="3"/>
  <c r="T171" i="3"/>
  <c r="A171" i="3"/>
  <c r="T170" i="3"/>
  <c r="A170" i="3"/>
  <c r="T169" i="3"/>
  <c r="A169" i="3"/>
  <c r="T168" i="3"/>
  <c r="A168" i="3"/>
  <c r="T167" i="3"/>
  <c r="A167" i="3"/>
  <c r="T166" i="3"/>
  <c r="A166" i="3"/>
  <c r="T165" i="3"/>
  <c r="A165" i="3"/>
  <c r="T164" i="3"/>
  <c r="A164" i="3"/>
  <c r="T163" i="3"/>
  <c r="A163" i="3"/>
  <c r="T162" i="3"/>
  <c r="A162" i="3"/>
  <c r="T161" i="3"/>
  <c r="A161" i="3"/>
  <c r="T160" i="3"/>
  <c r="A160" i="3"/>
  <c r="T159" i="3"/>
  <c r="A159" i="3"/>
  <c r="T158" i="3"/>
  <c r="A158" i="3"/>
  <c r="T157" i="3"/>
  <c r="A157" i="3"/>
  <c r="T156" i="3"/>
  <c r="A156" i="3"/>
  <c r="T155" i="3"/>
  <c r="A155" i="3"/>
  <c r="T154" i="3"/>
  <c r="A154" i="3"/>
  <c r="T153" i="3"/>
  <c r="A153" i="3"/>
  <c r="T152" i="3"/>
  <c r="A152" i="3"/>
  <c r="T151" i="3"/>
  <c r="A151" i="3"/>
  <c r="T150" i="3"/>
  <c r="A150" i="3"/>
  <c r="T149" i="3"/>
  <c r="A149" i="3"/>
  <c r="T148" i="3"/>
  <c r="A148" i="3"/>
  <c r="T147" i="3"/>
  <c r="A147" i="3"/>
  <c r="T146" i="3"/>
  <c r="A146" i="3"/>
  <c r="T145" i="3"/>
  <c r="A145" i="3"/>
  <c r="T144" i="3"/>
  <c r="A144" i="3"/>
  <c r="T143" i="3"/>
  <c r="A143" i="3"/>
  <c r="T142" i="3"/>
  <c r="A142" i="3"/>
  <c r="T141" i="3"/>
  <c r="A141" i="3"/>
  <c r="T140" i="3"/>
  <c r="A140" i="3"/>
  <c r="T139" i="3"/>
  <c r="A139" i="3"/>
  <c r="T138" i="3"/>
  <c r="A138" i="3"/>
  <c r="T137" i="3"/>
  <c r="A137" i="3"/>
  <c r="T136" i="3"/>
  <c r="A136" i="3"/>
  <c r="T135" i="3"/>
  <c r="A135" i="3"/>
  <c r="T134" i="3"/>
  <c r="A134" i="3"/>
  <c r="T133" i="3"/>
  <c r="A133" i="3"/>
  <c r="T132" i="3"/>
  <c r="A132" i="3"/>
  <c r="T131" i="3"/>
  <c r="A131" i="3"/>
  <c r="T130" i="3"/>
  <c r="A130" i="3"/>
  <c r="T129" i="3"/>
  <c r="A129" i="3"/>
  <c r="T128" i="3"/>
  <c r="A128" i="3"/>
  <c r="T127" i="3"/>
  <c r="A127" i="3"/>
  <c r="T126" i="3"/>
  <c r="A126" i="3"/>
  <c r="T125" i="3"/>
  <c r="A125" i="3"/>
  <c r="T124" i="3"/>
  <c r="A124" i="3"/>
  <c r="T123" i="3"/>
  <c r="A123" i="3"/>
  <c r="T122" i="3"/>
  <c r="A122" i="3"/>
  <c r="T121" i="3"/>
  <c r="A121" i="3"/>
  <c r="T120" i="3"/>
  <c r="A120" i="3"/>
  <c r="T119" i="3"/>
  <c r="A119" i="3"/>
  <c r="T118" i="3"/>
  <c r="A118" i="3"/>
  <c r="T117" i="3"/>
  <c r="A117" i="3"/>
  <c r="T116" i="3"/>
  <c r="A116" i="3"/>
  <c r="T115" i="3"/>
  <c r="A115" i="3"/>
  <c r="T114" i="3"/>
  <c r="A114" i="3"/>
  <c r="T113" i="3"/>
  <c r="A113" i="3"/>
  <c r="T112" i="3"/>
  <c r="A112" i="3"/>
  <c r="T111" i="3"/>
  <c r="A111" i="3"/>
  <c r="T110" i="3"/>
  <c r="A110" i="3"/>
  <c r="T109" i="3"/>
  <c r="A109" i="3"/>
  <c r="T108" i="3"/>
  <c r="A108" i="3"/>
  <c r="T107" i="3"/>
  <c r="A107" i="3"/>
  <c r="T106" i="3"/>
  <c r="A106" i="3"/>
  <c r="T105" i="3"/>
  <c r="A105" i="3"/>
  <c r="T104" i="3"/>
  <c r="A104" i="3"/>
  <c r="T103" i="3"/>
  <c r="A103" i="3"/>
  <c r="T102" i="3"/>
  <c r="A102" i="3"/>
  <c r="T101" i="3"/>
  <c r="A101" i="3"/>
  <c r="T100" i="3"/>
  <c r="A100" i="3"/>
  <c r="T99" i="3"/>
  <c r="A99" i="3"/>
  <c r="T98" i="3"/>
  <c r="A98" i="3"/>
  <c r="T97" i="3"/>
  <c r="A97" i="3"/>
  <c r="T96" i="3"/>
  <c r="A96" i="3"/>
  <c r="T95" i="3"/>
  <c r="A95" i="3"/>
  <c r="T94" i="3"/>
  <c r="A94" i="3"/>
  <c r="T93" i="3"/>
  <c r="A93" i="3"/>
  <c r="T92" i="3"/>
  <c r="A92" i="3"/>
  <c r="T91" i="3"/>
  <c r="A91" i="3"/>
  <c r="T90" i="3"/>
  <c r="A90" i="3"/>
  <c r="T89" i="3"/>
  <c r="A89" i="3"/>
  <c r="T88" i="3"/>
  <c r="A88" i="3"/>
  <c r="T87" i="3"/>
  <c r="A87" i="3"/>
  <c r="T86" i="3"/>
  <c r="A86" i="3"/>
  <c r="T85" i="3"/>
  <c r="A85" i="3"/>
  <c r="T84" i="3"/>
  <c r="A84" i="3"/>
  <c r="T83" i="3"/>
  <c r="A83" i="3"/>
  <c r="T82" i="3"/>
  <c r="A82" i="3"/>
  <c r="T81" i="3"/>
  <c r="A81" i="3"/>
  <c r="T80" i="3"/>
  <c r="A80" i="3"/>
  <c r="T79" i="3"/>
  <c r="A79" i="3"/>
  <c r="T78" i="3"/>
  <c r="A78" i="3"/>
  <c r="T77" i="3"/>
  <c r="A77" i="3"/>
  <c r="T76" i="3"/>
  <c r="A76" i="3"/>
  <c r="T75" i="3"/>
  <c r="A75" i="3"/>
  <c r="T74" i="3"/>
  <c r="A74" i="3"/>
  <c r="T73" i="3"/>
  <c r="A73" i="3"/>
  <c r="T72" i="3"/>
  <c r="A72" i="3"/>
  <c r="T71" i="3"/>
  <c r="A71" i="3"/>
  <c r="T70" i="3"/>
  <c r="A70" i="3"/>
  <c r="T69" i="3"/>
  <c r="A69" i="3"/>
  <c r="T68" i="3"/>
  <c r="A68" i="3"/>
  <c r="T67" i="3"/>
  <c r="A67" i="3"/>
  <c r="T66" i="3"/>
  <c r="A66" i="3"/>
  <c r="T65" i="3"/>
  <c r="A65" i="3"/>
  <c r="T64" i="3"/>
  <c r="A64" i="3"/>
  <c r="T63" i="3"/>
  <c r="A63" i="3"/>
  <c r="T62" i="3"/>
  <c r="A62" i="3"/>
  <c r="T61" i="3"/>
  <c r="A61" i="3"/>
  <c r="T60" i="3"/>
  <c r="A60" i="3"/>
  <c r="T59" i="3"/>
  <c r="A59" i="3"/>
  <c r="T58" i="3"/>
  <c r="A58" i="3"/>
  <c r="T57" i="3"/>
  <c r="A57" i="3"/>
  <c r="T56" i="3"/>
  <c r="A56" i="3"/>
  <c r="T55" i="3"/>
  <c r="A55" i="3"/>
  <c r="T54" i="3"/>
  <c r="A54" i="3"/>
  <c r="T53" i="3"/>
  <c r="A53" i="3"/>
  <c r="T52" i="3"/>
  <c r="A52" i="3"/>
  <c r="T51" i="3"/>
  <c r="A51" i="3"/>
  <c r="T50" i="3"/>
  <c r="A50" i="3"/>
  <c r="T49" i="3"/>
  <c r="A49" i="3"/>
  <c r="T48" i="3"/>
  <c r="A48" i="3"/>
  <c r="T47" i="3"/>
  <c r="A47" i="3"/>
  <c r="T46" i="3"/>
  <c r="A46" i="3"/>
  <c r="T45" i="3"/>
  <c r="A45" i="3"/>
  <c r="T44" i="3"/>
  <c r="A44" i="3"/>
  <c r="T43" i="3"/>
  <c r="A43" i="3"/>
  <c r="T42" i="3"/>
  <c r="A42" i="3"/>
  <c r="T41" i="3"/>
  <c r="A41" i="3"/>
  <c r="T40" i="3"/>
  <c r="A40" i="3"/>
  <c r="T39" i="3"/>
  <c r="A39" i="3"/>
  <c r="T38" i="3"/>
  <c r="A38" i="3"/>
  <c r="T37" i="3"/>
  <c r="A37" i="3"/>
  <c r="T36" i="3"/>
  <c r="A36" i="3"/>
  <c r="T35" i="3"/>
  <c r="A35" i="3"/>
  <c r="T34" i="3"/>
  <c r="A34" i="3"/>
  <c r="T33" i="3"/>
  <c r="A33" i="3"/>
  <c r="T32" i="3"/>
  <c r="A32" i="3"/>
  <c r="T31" i="3"/>
  <c r="A31" i="3"/>
  <c r="T30" i="3"/>
  <c r="A30" i="3"/>
  <c r="T29" i="3"/>
  <c r="A29" i="3"/>
  <c r="T28" i="3"/>
  <c r="A28" i="3"/>
  <c r="T27" i="3"/>
  <c r="A27" i="3"/>
  <c r="T26" i="3"/>
  <c r="A26" i="3"/>
  <c r="T25" i="3"/>
  <c r="A25" i="3"/>
  <c r="T24" i="3"/>
  <c r="A24" i="3"/>
  <c r="T23" i="3"/>
  <c r="A23" i="3"/>
  <c r="T22" i="3"/>
  <c r="A22" i="3"/>
  <c r="T21" i="3"/>
  <c r="A21" i="3"/>
  <c r="T20" i="3"/>
  <c r="A20" i="3"/>
  <c r="T19" i="3"/>
  <c r="A19" i="3"/>
  <c r="T18" i="3"/>
  <c r="A18" i="3"/>
  <c r="T17" i="3"/>
  <c r="A17" i="3"/>
  <c r="T16" i="3"/>
  <c r="A16" i="3"/>
  <c r="T15" i="3"/>
  <c r="A15" i="3"/>
  <c r="T14" i="3"/>
  <c r="A14" i="3"/>
  <c r="T13" i="3"/>
  <c r="A13" i="3"/>
  <c r="T12" i="3"/>
  <c r="A12" i="3"/>
  <c r="T11" i="3"/>
  <c r="A11" i="3"/>
  <c r="T10" i="3"/>
  <c r="A10" i="3"/>
  <c r="T9" i="3"/>
  <c r="A9" i="3"/>
  <c r="T8" i="3"/>
  <c r="A8" i="3"/>
  <c r="T7" i="3"/>
  <c r="A7" i="3"/>
  <c r="T6" i="3"/>
  <c r="A6" i="3"/>
  <c r="T5" i="3"/>
  <c r="A5" i="3"/>
  <c r="T4" i="3"/>
  <c r="A4" i="3"/>
  <c r="T3" i="3"/>
  <c r="A3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E1C8F1-992B-42E9-BBCB-714BA0B95547}" keepAlive="1" name="Requête - base_modele" description="Connexion à la requête « base_modele » dans le classeur." type="5" refreshedVersion="0" background="1">
    <dbPr connection="Provider=Microsoft.Mashup.OleDb.1;Data Source=$Workbook$;Location=base_modele;Extended Properties=&quot;&quot;" command="SELECT * FROM [base_modele]"/>
  </connection>
  <connection id="2" xr16:uid="{387398C3-B1BD-4FD1-9043-A0CFA88CD217}" keepAlive="1" name="Requête - basearticle" description="Connexion à la requête « basearticle » dans le classeur." type="5" refreshedVersion="0" background="1">
    <dbPr connection="Provider=Microsoft.Mashup.OleDb.1;Data Source=$Workbook$;Location=basearticle;Extended Properties=&quot;&quot;" command="SELECT * FROM [basearticle]"/>
  </connection>
  <connection id="3" xr16:uid="{EE6F8E00-5B79-4F51-B67E-395DF8F27404}" keepAlive="1" name="Requête - BOM" description="Connexion à la requête « BOM » dans le classeur." type="5" refreshedVersion="0" background="1">
    <dbPr connection="Provider=Microsoft.Mashup.OleDb.1;Data Source=$Workbook$;Location=BOM;Extended Properties=&quot;&quot;" command="SELECT * FROM [BOM]"/>
  </connection>
  <connection id="4" xr16:uid="{A8F5AF34-3A2A-4884-9170-49BF14D6F788}" keepAlive="1" name="Requête - Catalogue" description="Connexion à la requête « Catalogue » dans le classeur." type="5" refreshedVersion="0" background="1">
    <dbPr connection="Provider=Microsoft.Mashup.OleDb.1;Data Source=$Workbook$;Location=Catalogue;Extended Properties=&quot;&quot;" command="SELECT * FROM [Catalogue]"/>
  </connection>
  <connection id="5" xr16:uid="{D6F99124-3826-4FA2-ABBF-1903AD9BFE8E}" keepAlive="1" name="Requête - Commande a fabriquer" description="Connexion à la requête « Commande a fabriquer » dans le classeur." type="5" refreshedVersion="8" background="1" saveData="1">
    <dbPr connection="Provider=Microsoft.Mashup.OleDb.1;Data Source=$Workbook$;Location=&quot;Commande a fabriquer&quot;;Extended Properties=&quot;&quot;" command="SELECT * FROM [Commande a fabriquer]"/>
  </connection>
  <connection id="6" xr16:uid="{B2F5E897-8B5A-42A4-B290-8CC77315B9F0}" keepAlive="1" name="Requête - Commandes(1)" description="Connexion à la requête « Commandes » dans le classeur." type="5" refreshedVersion="0" background="1" saveData="1">
    <dbPr connection="Provider=Microsoft.Mashup.OleDb.1;Data Source=$Workbook$;Location=Commandes;Extended Properties=&quot;&quot;" command="SELECT * FROM [Commandes]"/>
  </connection>
  <connection id="7" xr16:uid="{D6E12953-4940-479D-9356-36FB839F0614}" keepAlive="1" name="Requête - equip_fab" description="Connexion à la requête « equip_fab » dans le classeur." type="5" refreshedVersion="0" background="1" saveData="1">
    <dbPr connection="Provider=Microsoft.Mashup.OleDb.1;Data Source=$Workbook$;Location=equip_fab;Extended Properties=&quot;&quot;" command="SELECT * FROM [equip_fab]"/>
  </connection>
  <connection id="8" xr16:uid="{F69F84AF-D67E-4B17-84FE-0C4243146C12}" keepAlive="1" name="Requête - Equipement" description="Connexion à la requête « Equipement » dans le classeur." type="5" refreshedVersion="0" background="1">
    <dbPr connection="Provider=Microsoft.Mashup.OleDb.1;Data Source=$Workbook$;Location=Equipement;Extended Properties=&quot;&quot;" command="SELECT * FROM [Equipement]"/>
  </connection>
  <connection id="9" xr16:uid="{6F70DC08-CCC8-4546-BF4B-F1DBA1EBBFB7}" keepAlive="1" name="Requête - Mouvement MP" description="Connexion à la requête « Mouvement MP » dans le classeur." type="5" refreshedVersion="0" background="1">
    <dbPr connection="Provider=Microsoft.Mashup.OleDb.1;Data Source=$Workbook$;Location=&quot;Mouvement MP&quot;;Extended Properties=&quot;&quot;" command="SELECT * FROM [Mouvement MP]"/>
  </connection>
  <connection id="10" xr16:uid="{192EB689-0992-4265-8C39-463134217912}" keepAlive="1" name="Requête - mouvement_fourniture1" description="Connexion à la requête « mouvement_fourniture1 » dans le classeur." type="5" refreshedVersion="0" background="1">
    <dbPr connection="Provider=Microsoft.Mashup.OleDb.1;Data Source=$Workbook$;Location=mouvement_fourniture1;Extended Properties=&quot;&quot;" command="SELECT * FROM [mouvement_fourniture1]"/>
  </connection>
</connections>
</file>

<file path=xl/sharedStrings.xml><?xml version="1.0" encoding="utf-8"?>
<sst xmlns="http://schemas.openxmlformats.org/spreadsheetml/2006/main" count="2981" uniqueCount="332">
  <si>
    <t>Numéro de série</t>
  </si>
  <si>
    <t>Etat</t>
  </si>
  <si>
    <t>UNITE</t>
  </si>
  <si>
    <t>laize actuelle</t>
  </si>
  <si>
    <t>Nombre de fil chaine</t>
  </si>
  <si>
    <t>cable satin</t>
  </si>
  <si>
    <t>Type de programme</t>
  </si>
  <si>
    <t>vitesse ( duite par minute)</t>
  </si>
  <si>
    <t>M2301</t>
  </si>
  <si>
    <t>CADRE</t>
  </si>
  <si>
    <t>En fonction</t>
  </si>
  <si>
    <t>Usine</t>
  </si>
  <si>
    <t>M2302</t>
  </si>
  <si>
    <t>M2303</t>
  </si>
  <si>
    <t>M2304</t>
  </si>
  <si>
    <t>M2305</t>
  </si>
  <si>
    <t>M2306</t>
  </si>
  <si>
    <t>M2307</t>
  </si>
  <si>
    <t>M2308</t>
  </si>
  <si>
    <t>M2309</t>
  </si>
  <si>
    <t>M2310</t>
  </si>
  <si>
    <t>M2311</t>
  </si>
  <si>
    <t>M2401</t>
  </si>
  <si>
    <t>JACQUARD</t>
  </si>
  <si>
    <t>M2402</t>
  </si>
  <si>
    <t>M2403</t>
  </si>
  <si>
    <t>M2404</t>
  </si>
  <si>
    <t>En cours de mise en fonctionnement</t>
  </si>
  <si>
    <t>MADI01</t>
  </si>
  <si>
    <t>EPONGE</t>
  </si>
  <si>
    <t>Dimatex</t>
  </si>
  <si>
    <t>MADI02</t>
  </si>
  <si>
    <t>M01</t>
  </si>
  <si>
    <t>Neji</t>
  </si>
  <si>
    <t>M02</t>
  </si>
  <si>
    <t>M03</t>
  </si>
  <si>
    <t>M04</t>
  </si>
  <si>
    <t>Code paramétrage</t>
  </si>
  <si>
    <t>Type de Tissage</t>
  </si>
  <si>
    <t>Code Type de Tissage</t>
  </si>
  <si>
    <t>ARTHUR</t>
  </si>
  <si>
    <t>AR</t>
  </si>
  <si>
    <t>FR</t>
  </si>
  <si>
    <t>100/200 CM</t>
  </si>
  <si>
    <t>2 Couleurs</t>
  </si>
  <si>
    <t>B</t>
  </si>
  <si>
    <t>PREMUIM</t>
  </si>
  <si>
    <t>3 Couleurs</t>
  </si>
  <si>
    <t>T</t>
  </si>
  <si>
    <t>160/260 CM</t>
  </si>
  <si>
    <t>200/200 CM</t>
  </si>
  <si>
    <t>200/300 CM</t>
  </si>
  <si>
    <t>240/260 CM</t>
  </si>
  <si>
    <t>IBIZA</t>
  </si>
  <si>
    <t>IB</t>
  </si>
  <si>
    <t>EPIB</t>
  </si>
  <si>
    <t>EP</t>
  </si>
  <si>
    <t>90/190 CM</t>
  </si>
  <si>
    <t>90/180 CM</t>
  </si>
  <si>
    <t>MARINIERE</t>
  </si>
  <si>
    <t>MA</t>
  </si>
  <si>
    <t>70/140 CM</t>
  </si>
  <si>
    <t>S</t>
  </si>
  <si>
    <t>EPMA</t>
  </si>
  <si>
    <t>KAIROUAN</t>
  </si>
  <si>
    <t>KA</t>
  </si>
  <si>
    <t>4 Couleurs</t>
  </si>
  <si>
    <t>Q</t>
  </si>
  <si>
    <t>BIBI</t>
  </si>
  <si>
    <t>BIB</t>
  </si>
  <si>
    <t>BASQUE</t>
  </si>
  <si>
    <t>BA</t>
  </si>
  <si>
    <t>5 Couleurs</t>
  </si>
  <si>
    <t>C</t>
  </si>
  <si>
    <t>BERBER</t>
  </si>
  <si>
    <t>BE</t>
  </si>
  <si>
    <t>CHEVRON</t>
  </si>
  <si>
    <t>CH</t>
  </si>
  <si>
    <t>180/240 CM</t>
  </si>
  <si>
    <t>Uni</t>
  </si>
  <si>
    <t>U</t>
  </si>
  <si>
    <t>ECHARPE CHEVRON</t>
  </si>
  <si>
    <t>ECH</t>
  </si>
  <si>
    <t>70/200 CM</t>
  </si>
  <si>
    <t>CHEVRON BANDE</t>
  </si>
  <si>
    <t>CHB</t>
  </si>
  <si>
    <t>ST TROPEZ</t>
  </si>
  <si>
    <t>ST</t>
  </si>
  <si>
    <t>6 Couleurs</t>
  </si>
  <si>
    <t>EPST</t>
  </si>
  <si>
    <t>LILI</t>
  </si>
  <si>
    <t>LI</t>
  </si>
  <si>
    <t>LILI LUREX</t>
  </si>
  <si>
    <t>LIL</t>
  </si>
  <si>
    <t>TAHITI</t>
  </si>
  <si>
    <t>TAH</t>
  </si>
  <si>
    <t>BALI</t>
  </si>
  <si>
    <t>BAL</t>
  </si>
  <si>
    <t>UNI</t>
  </si>
  <si>
    <t>UNI SURPIQUE</t>
  </si>
  <si>
    <t>UNS</t>
  </si>
  <si>
    <t>50/70 CM</t>
  </si>
  <si>
    <t>EPU</t>
  </si>
  <si>
    <t>MALIBU</t>
  </si>
  <si>
    <t>MAL</t>
  </si>
  <si>
    <t>90/170 CM</t>
  </si>
  <si>
    <t>ISTANBUL</t>
  </si>
  <si>
    <t>IS</t>
  </si>
  <si>
    <t>TURC</t>
  </si>
  <si>
    <t>TU</t>
  </si>
  <si>
    <t>ND LILI</t>
  </si>
  <si>
    <t>NDL</t>
  </si>
  <si>
    <t>ND LILI LUREX</t>
  </si>
  <si>
    <t>NDLIL</t>
  </si>
  <si>
    <t>ND ARCACHON</t>
  </si>
  <si>
    <t>NDAR</t>
  </si>
  <si>
    <t>ND BASQUE</t>
  </si>
  <si>
    <t>NDBA</t>
  </si>
  <si>
    <t>ND BIARRITZ</t>
  </si>
  <si>
    <t>NDBI</t>
  </si>
  <si>
    <t>ND FIVE</t>
  </si>
  <si>
    <t>NDFI</t>
  </si>
  <si>
    <t>ND FLY</t>
  </si>
  <si>
    <t>NDFL</t>
  </si>
  <si>
    <t>ND FOULA</t>
  </si>
  <si>
    <t>NDF</t>
  </si>
  <si>
    <t>ND HOSSEGOR</t>
  </si>
  <si>
    <t>NDH</t>
  </si>
  <si>
    <t>ND LONDON</t>
  </si>
  <si>
    <t>NDLO</t>
  </si>
  <si>
    <t>ND MARINIERE</t>
  </si>
  <si>
    <t>NDMA</t>
  </si>
  <si>
    <t>ND UNI</t>
  </si>
  <si>
    <t>NDU</t>
  </si>
  <si>
    <t>DECO</t>
  </si>
  <si>
    <t>DEC</t>
  </si>
  <si>
    <t>240/300 CM</t>
  </si>
  <si>
    <t>TOTE BAG UNI</t>
  </si>
  <si>
    <t>TBU</t>
  </si>
  <si>
    <t>40/50 CM</t>
  </si>
  <si>
    <t>POCHETTE UNI</t>
  </si>
  <si>
    <t>POU</t>
  </si>
  <si>
    <t>SAC FOUTA</t>
  </si>
  <si>
    <t>SF</t>
  </si>
  <si>
    <t>COUSSIN SAC</t>
  </si>
  <si>
    <t>CS</t>
  </si>
  <si>
    <t>DEGRADER DE LUREX</t>
  </si>
  <si>
    <t>DL</t>
  </si>
  <si>
    <t>FIL A FIL</t>
  </si>
  <si>
    <t>FAF</t>
  </si>
  <si>
    <t>FOUTA PERSONNALISER</t>
  </si>
  <si>
    <t>FP</t>
  </si>
  <si>
    <t>100/160 CM</t>
  </si>
  <si>
    <t>PACK CHIC</t>
  </si>
  <si>
    <t>PACKCHI</t>
  </si>
  <si>
    <t>PACK LONDON</t>
  </si>
  <si>
    <t>PACKLO</t>
  </si>
  <si>
    <t>PACK CLASSIQUE</t>
  </si>
  <si>
    <t>PACKCL</t>
  </si>
  <si>
    <t>RELIEF</t>
  </si>
  <si>
    <t>RE</t>
  </si>
  <si>
    <t>HOUSSE DE SOUSSIN RELIEF</t>
  </si>
  <si>
    <t>HCRE</t>
  </si>
  <si>
    <t>40/60 CM</t>
  </si>
  <si>
    <t>NATTE</t>
  </si>
  <si>
    <t>NAT</t>
  </si>
  <si>
    <t>HOUSSE DE COUSSIN NATTE</t>
  </si>
  <si>
    <t>HCNAT</t>
  </si>
  <si>
    <t>NATURE</t>
  </si>
  <si>
    <t>NA</t>
  </si>
  <si>
    <t>GINKO</t>
  </si>
  <si>
    <t>GIN</t>
  </si>
  <si>
    <t>RONDA</t>
  </si>
  <si>
    <t>RON</t>
  </si>
  <si>
    <t>OLIVIER</t>
  </si>
  <si>
    <t>OLI</t>
  </si>
  <si>
    <t>MONTAGNA</t>
  </si>
  <si>
    <t>MON</t>
  </si>
  <si>
    <t>MEANDRO</t>
  </si>
  <si>
    <t>MEA</t>
  </si>
  <si>
    <t>TAILLE ENFANT</t>
  </si>
  <si>
    <t>EN</t>
  </si>
  <si>
    <t>PICASSO</t>
  </si>
  <si>
    <t>PIC</t>
  </si>
  <si>
    <t>LONDON</t>
  </si>
  <si>
    <t>LO</t>
  </si>
  <si>
    <t>LOZANGE</t>
  </si>
  <si>
    <t>LOZ</t>
  </si>
  <si>
    <t>VERONE</t>
  </si>
  <si>
    <t>VE</t>
  </si>
  <si>
    <t>SOUSSE</t>
  </si>
  <si>
    <t>DEGRADER</t>
  </si>
  <si>
    <t>DEG</t>
  </si>
  <si>
    <t>FIVE</t>
  </si>
  <si>
    <t>FI</t>
  </si>
  <si>
    <t>INSPIRATION</t>
  </si>
  <si>
    <t>INS</t>
  </si>
  <si>
    <t>Modèle</t>
  </si>
  <si>
    <t>Dimensions</t>
  </si>
  <si>
    <t>1824</t>
  </si>
  <si>
    <t>0919</t>
  </si>
  <si>
    <t>0507</t>
  </si>
  <si>
    <t>Nombre de couleur</t>
  </si>
  <si>
    <t>COMPTEUR</t>
  </si>
  <si>
    <t>PON</t>
  </si>
  <si>
    <t>ADU</t>
  </si>
  <si>
    <t>0405</t>
  </si>
  <si>
    <t>1016</t>
  </si>
  <si>
    <t>0918</t>
  </si>
  <si>
    <t>0917</t>
  </si>
  <si>
    <t>0720</t>
  </si>
  <si>
    <t>0714</t>
  </si>
  <si>
    <t>0406</t>
  </si>
  <si>
    <t>0103</t>
  </si>
  <si>
    <t>STANDART ADULTE</t>
  </si>
  <si>
    <t>CO</t>
  </si>
  <si>
    <t>SO</t>
  </si>
  <si>
    <t>Unite compteur</t>
  </si>
  <si>
    <t>Rapport</t>
  </si>
  <si>
    <t>Mètre</t>
  </si>
  <si>
    <t>Couture</t>
  </si>
  <si>
    <t>Tissage Plat</t>
  </si>
  <si>
    <t>Tissage Nid d'Abeille</t>
  </si>
  <si>
    <t>ND</t>
  </si>
  <si>
    <t>Tissage Jacquard</t>
  </si>
  <si>
    <t>Tissage Mixte</t>
  </si>
  <si>
    <t>MIX</t>
  </si>
  <si>
    <t>PL</t>
  </si>
  <si>
    <t>JA</t>
  </si>
  <si>
    <t>Eponge</t>
  </si>
  <si>
    <t>PONCHO UNI</t>
  </si>
  <si>
    <t>Frange</t>
  </si>
  <si>
    <t>Frange Court</t>
  </si>
  <si>
    <t>FC</t>
  </si>
  <si>
    <t>Ourlet</t>
  </si>
  <si>
    <t>OU</t>
  </si>
  <si>
    <t>Frange Croisé</t>
  </si>
  <si>
    <t>Produit</t>
  </si>
  <si>
    <t>HCUNS</t>
  </si>
  <si>
    <t>Code Qualite</t>
  </si>
  <si>
    <t>Qualite</t>
  </si>
  <si>
    <t>PRE</t>
  </si>
  <si>
    <t>Code Nombre de couleur</t>
  </si>
  <si>
    <t>Nombre de Duite Total</t>
  </si>
  <si>
    <t>Nombre de fil Par Cm</t>
  </si>
  <si>
    <t>laize Machine</t>
  </si>
  <si>
    <t>Système</t>
  </si>
  <si>
    <t>Num Série Ratière</t>
  </si>
  <si>
    <t>Composer</t>
  </si>
  <si>
    <t>Type de Fabrication</t>
  </si>
  <si>
    <t>Unique</t>
  </si>
  <si>
    <t>Fouta</t>
  </si>
  <si>
    <t>Jeté</t>
  </si>
  <si>
    <t>Fouta Eponge</t>
  </si>
  <si>
    <t>Echarpe</t>
  </si>
  <si>
    <t>Tote Bag</t>
  </si>
  <si>
    <t>Pack Torchon</t>
  </si>
  <si>
    <t>Poncho</t>
  </si>
  <si>
    <t>Fouta Enfant</t>
  </si>
  <si>
    <t>Housse De Coussin</t>
  </si>
  <si>
    <t>Pochette</t>
  </si>
  <si>
    <t>Sac Fouta</t>
  </si>
  <si>
    <t>Coussin Sac</t>
  </si>
  <si>
    <t>Fouta Personnaliser</t>
  </si>
  <si>
    <t>HTVS4/S</t>
  </si>
  <si>
    <t>HTVS6/S</t>
  </si>
  <si>
    <t>Hors Unité</t>
  </si>
  <si>
    <t>M2405</t>
  </si>
  <si>
    <t>M2312</t>
  </si>
  <si>
    <t>Type Ratière</t>
  </si>
  <si>
    <t>Type Machine</t>
  </si>
  <si>
    <t>CX860</t>
  </si>
  <si>
    <t>CX960</t>
  </si>
  <si>
    <t>GTN6/SD</t>
  </si>
  <si>
    <t>HTV8/S</t>
  </si>
  <si>
    <t>HTV4/SD</t>
  </si>
  <si>
    <t>HTV8/J</t>
  </si>
  <si>
    <t>OUI</t>
  </si>
  <si>
    <t>NON</t>
  </si>
  <si>
    <t>Carton</t>
  </si>
  <si>
    <t>Programme</t>
  </si>
  <si>
    <t>selecteur couleur Installé</t>
  </si>
  <si>
    <t>Longeur Peigne</t>
  </si>
  <si>
    <t>Caractéristique</t>
  </si>
  <si>
    <t>Nom</t>
  </si>
  <si>
    <t>Fonction</t>
  </si>
  <si>
    <t>Parc01</t>
  </si>
  <si>
    <t>Parc02</t>
  </si>
  <si>
    <t>Parc03</t>
  </si>
  <si>
    <t>Majdi</t>
  </si>
  <si>
    <t>Zied</t>
  </si>
  <si>
    <t>Badie</t>
  </si>
  <si>
    <t>Najeh</t>
  </si>
  <si>
    <t>Horaire Journaliere</t>
  </si>
  <si>
    <t>Equipe</t>
  </si>
  <si>
    <t>Equipe1</t>
  </si>
  <si>
    <t>Equipe2</t>
  </si>
  <si>
    <t>EquipeST</t>
  </si>
  <si>
    <t>Parc</t>
  </si>
  <si>
    <t>Sous Traitant</t>
  </si>
  <si>
    <t>Tisseur</t>
  </si>
  <si>
    <t>Mohamed</t>
  </si>
  <si>
    <t>Taux Horaire</t>
  </si>
  <si>
    <t>Said</t>
  </si>
  <si>
    <t>Mecanicien</t>
  </si>
  <si>
    <t>Habib</t>
  </si>
  <si>
    <t>Parc01&amp;Parc02&amp;Parc03</t>
  </si>
  <si>
    <t>Parc Machine</t>
  </si>
  <si>
    <t>Jour/Semaine</t>
  </si>
  <si>
    <t>Consommation Selecteur 01</t>
  </si>
  <si>
    <t>Consommation Selecteur 02</t>
  </si>
  <si>
    <t>Consommation Selecteur 03</t>
  </si>
  <si>
    <t>Consommation Selecteur 04</t>
  </si>
  <si>
    <t>Consommation Selecteur 05</t>
  </si>
  <si>
    <t>Consommation Selecteur 06</t>
  </si>
  <si>
    <t>Consommation Selecteur 07</t>
  </si>
  <si>
    <t>Consommation Selecteur 08</t>
  </si>
  <si>
    <t>Type de Finition</t>
  </si>
  <si>
    <t>PONCHO BICOULEUR</t>
  </si>
  <si>
    <t>SERVIETTE IBIZA</t>
  </si>
  <si>
    <t>0404</t>
  </si>
  <si>
    <t>Code Modèle</t>
  </si>
  <si>
    <t>Code Type De Finition</t>
  </si>
  <si>
    <t>15/35 CM</t>
  </si>
  <si>
    <t>SIB</t>
  </si>
  <si>
    <t>40/40 CM</t>
  </si>
  <si>
    <t>Serviette</t>
  </si>
  <si>
    <t>Code Dimensions</t>
  </si>
  <si>
    <t>Largeur Tissage</t>
  </si>
  <si>
    <t>Longueur Tissage</t>
  </si>
  <si>
    <t>Composition de Fabrication</t>
  </si>
  <si>
    <t>Duite Par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</si>
</sst>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\ [$د.ت.‏-1C01]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49" fontId="5" fillId="0" borderId="5" xfId="0" applyNumberFormat="1" applyFont="1" applyBorder="1" applyAlignment="1">
      <alignment horizontal="left" wrapText="1"/>
    </xf>
    <xf numFmtId="164" fontId="5" fillId="0" borderId="5" xfId="0" applyNumberFormat="1" applyFont="1" applyBorder="1" applyAlignment="1">
      <alignment horizontal="left" wrapText="1"/>
    </xf>
    <xf numFmtId="164" fontId="5" fillId="0" borderId="5" xfId="0" applyNumberFormat="1" applyFont="1" applyBorder="1" applyAlignment="1">
      <alignment horizontal="left"/>
    </xf>
    <xf numFmtId="2" fontId="5" fillId="0" borderId="5" xfId="0" applyNumberFormat="1" applyFont="1" applyBorder="1" applyAlignment="1">
      <alignment horizontal="left"/>
    </xf>
    <xf numFmtId="164" fontId="5" fillId="0" borderId="9" xfId="0" applyNumberFormat="1" applyFont="1" applyBorder="1" applyAlignment="1">
      <alignment horizontal="left"/>
    </xf>
    <xf numFmtId="0" fontId="5" fillId="0" borderId="8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164" fontId="5" fillId="0" borderId="9" xfId="0" applyNumberFormat="1" applyFont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4" xfId="0" applyFont="1" applyBorder="1" applyAlignment="1">
      <alignment horizontal="left"/>
    </xf>
    <xf numFmtId="1" fontId="5" fillId="0" borderId="5" xfId="0" applyNumberFormat="1" applyFon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165" fontId="5" fillId="0" borderId="5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" fontId="5" fillId="0" borderId="2" xfId="0" applyNumberFormat="1" applyFont="1" applyBorder="1" applyAlignment="1">
      <alignment horizontal="left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49" fontId="5" fillId="0" borderId="9" xfId="0" applyNumberFormat="1" applyFont="1" applyBorder="1" applyAlignment="1">
      <alignment horizontal="left" wrapText="1"/>
    </xf>
  </cellXfs>
  <cellStyles count="1">
    <cellStyle name="Normal" xfId="0" builtinId="0"/>
  </cellStyles>
  <dxfs count="74"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#,##0.000\ [$د.ت.‏-1C01]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D0E9E1-5EAA-415B-8B46-CD51153DC3A9}" name="Equipement" displayName="Equipement" ref="A1:X20" totalsRowShown="0" headerRowDxfId="73" dataDxfId="71" headerRowBorderDxfId="72" tableBorderDxfId="70" totalsRowBorderDxfId="69">
  <autoFilter ref="A1:X20" xr:uid="{38D0E9E1-5EAA-415B-8B46-CD51153DC3A9}"/>
  <tableColumns count="24">
    <tableColumn id="1" xr3:uid="{C8C50429-0A29-41BE-B2E2-B589CC44EB8A}" name="Caractéristique" dataDxfId="68"/>
    <tableColumn id="2" xr3:uid="{E32D266B-7C1C-42E9-805A-527B6007CC2C}" name="M2301" dataDxfId="67"/>
    <tableColumn id="3" xr3:uid="{C4B60339-1929-4888-A30E-0039DBDF86C2}" name="M2302" dataDxfId="66"/>
    <tableColumn id="4" xr3:uid="{20217A4C-BE63-4625-9FE1-36CB6F65A86F}" name="M2303" dataDxfId="65"/>
    <tableColumn id="5" xr3:uid="{5B9F1EE7-7BFA-4FC0-9FD2-F3A441AAD7DC}" name="M2304" dataDxfId="64"/>
    <tableColumn id="6" xr3:uid="{0FF2998F-CD2E-462A-B093-028EB2B4E27D}" name="M2305" dataDxfId="63"/>
    <tableColumn id="7" xr3:uid="{B223D2DA-C4D7-4E66-AC6F-3297DB0B7AF1}" name="M2306" dataDxfId="62"/>
    <tableColumn id="8" xr3:uid="{5AEC5003-EB0C-43C8-BE47-3C6D6846F136}" name="M2307" dataDxfId="61"/>
    <tableColumn id="9" xr3:uid="{A618C021-095D-47C6-AA7B-521722626600}" name="M2308" dataDxfId="60"/>
    <tableColumn id="10" xr3:uid="{A77AA22E-0873-4A53-8CC2-02A8408F118D}" name="M2309" dataDxfId="59"/>
    <tableColumn id="11" xr3:uid="{F7A5AAAF-B3E3-4958-B92A-86C1352B6F59}" name="M2310" dataDxfId="58"/>
    <tableColumn id="12" xr3:uid="{8DAE5333-A508-48E0-B74A-E55EC51DB5F7}" name="M2311" dataDxfId="57"/>
    <tableColumn id="13" xr3:uid="{47A0BD9D-BB3E-40E2-93D4-5C71D56BBBE6}" name="M2312" dataDxfId="56"/>
    <tableColumn id="14" xr3:uid="{F5B6202A-4708-47AE-B354-0F3721D822C4}" name="M2401" dataDxfId="55"/>
    <tableColumn id="15" xr3:uid="{34FAB323-D29C-4443-9A6C-2B1802939511}" name="M2402" dataDxfId="54"/>
    <tableColumn id="16" xr3:uid="{0C8E4349-FAC6-4DBA-8BCD-98A614429564}" name="M2403" dataDxfId="53"/>
    <tableColumn id="17" xr3:uid="{14027CBC-E9B2-4C76-8DE0-6C7F061C1803}" name="M2404" dataDxfId="52"/>
    <tableColumn id="18" xr3:uid="{FFAB71E4-147E-4C59-9570-6FEEF6D926AE}" name="M2405" dataDxfId="51"/>
    <tableColumn id="19" xr3:uid="{199AED15-46FD-4077-9D74-D95CD03AA159}" name="MADI01" dataDxfId="50"/>
    <tableColumn id="20" xr3:uid="{CBEED5DC-25E9-431B-AD9B-DEC2E27F4E5E}" name="MADI02" dataDxfId="49"/>
    <tableColumn id="21" xr3:uid="{E3230B84-D560-48CD-AA46-F1124A6693CE}" name="M01" dataDxfId="48"/>
    <tableColumn id="22" xr3:uid="{B3D01603-CE61-4FE2-B8A7-63D1DBC7E0D4}" name="M02" dataDxfId="47"/>
    <tableColumn id="23" xr3:uid="{B7E2423D-1995-46F9-831E-763814BC84B4}" name="M03" dataDxfId="46"/>
    <tableColumn id="24" xr3:uid="{002A56DA-90B7-483D-8AD6-864D222E4E31}" name="M04" dataDxfId="45"/>
  </tableColumns>
  <tableStyleInfo name="TableStyleLight1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39B88F-769F-4BCC-9D3D-6007E001251F}" name="equip_fab" displayName="equip_fab" ref="A1:G10" totalsRowShown="0" headerRowDxfId="44" dataDxfId="42" headerRowBorderDxfId="43" tableBorderDxfId="41" totalsRowBorderDxfId="40">
  <autoFilter ref="A1:G10" xr:uid="{3739B88F-769F-4BCC-9D3D-6007E001251F}"/>
  <tableColumns count="7">
    <tableColumn id="1" xr3:uid="{200D3DB6-7219-4143-9EE7-C804D8AAF5CA}" name="Nom" dataDxfId="39"/>
    <tableColumn id="2" xr3:uid="{3AB3D7DA-CAD7-4FC8-8C3B-6241E70C7E0D}" name="Fonction" dataDxfId="38"/>
    <tableColumn id="3" xr3:uid="{1913AF9D-CD1B-4144-B1E8-36B044945E54}" name="Parc Machine" dataDxfId="37"/>
    <tableColumn id="5" xr3:uid="{472E21B4-56D8-4F17-85D6-114EC2A56F67}" name="Equipe" dataDxfId="36"/>
    <tableColumn id="4" xr3:uid="{B8ABBE70-CD0C-45DB-B85B-3E0790D0356D}" name="Horaire Journaliere" dataDxfId="35"/>
    <tableColumn id="7" xr3:uid="{A35F804F-F7A9-43A1-B882-67B95CFF5709}" name="Jour/Semaine" dataDxfId="34"/>
    <tableColumn id="6" xr3:uid="{49C32BA5-4C28-49F6-B8B4-CB3EDB5386E1}" name="Taux Horaire" dataDxfId="3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16CD28-C3DB-4AE1-B4A3-E3461767CC80}" name="BOM" displayName="BOM" ref="A1:AB204" totalsRowShown="0" headerRowDxfId="32" dataDxfId="30" headerRowBorderDxfId="31" tableBorderDxfId="29" totalsRowBorderDxfId="28">
  <autoFilter ref="A1:AB204" xr:uid="{C916CD28-C3DB-4AE1-B4A3-E3461767CC80}"/>
  <tableColumns count="28">
    <tableColumn id="1" xr3:uid="{61433A4A-4E6A-40EE-AAA2-38AE8D033A0E}" name="Code paramétrage" dataDxfId="27">
      <calculatedColumnFormula>CONCATENATE(BOM[[#This Row],[Code Modèle]],BOM[[#This Row],[Code Dimensions]],"(",BOM[[#This Row],[Code Type De Finition]],")","-",BOM[[#This Row],[Code Nombre de couleur]])</calculatedColumnFormula>
    </tableColumn>
    <tableColumn id="2" xr3:uid="{756E65CA-96E7-4A0A-A8CF-2080A8CE8EEA}" name="Modèle" dataDxfId="26"/>
    <tableColumn id="3" xr3:uid="{FD3F1837-D2D8-4FA6-A37F-F53B542175A0}" name="Code Modèle" dataDxfId="25"/>
    <tableColumn id="4" xr3:uid="{F3D2D8A2-1580-4113-928F-9FC842B5D9F8}" name="Type de Tissage" dataDxfId="24"/>
    <tableColumn id="37" xr3:uid="{49D5673F-170C-4679-809D-777271AFD6C4}" name="Code Type de Tissage" dataDxfId="23"/>
    <tableColumn id="5" xr3:uid="{0264B472-32F8-4F70-956B-20EB54C86311}" name="Dimensions" dataDxfId="22"/>
    <tableColumn id="6" xr3:uid="{C0E1773B-E84D-46FD-9F88-777022C339C5}" name="Code Dimensions" dataDxfId="21"/>
    <tableColumn id="12" xr3:uid="{D23B7B79-3794-4907-BE5D-9570A9CA0DB5}" name="Produit" dataDxfId="20"/>
    <tableColumn id="52" xr3:uid="{4F6147CD-EC67-4F51-994A-D4EB69A31AD0}" name="Type de Fabrication" dataDxfId="19"/>
    <tableColumn id="24" xr3:uid="{51B1E7C5-0B78-4033-BCAC-976C3240967A}" name="Composition de Fabrication" dataDxfId="18"/>
    <tableColumn id="36" xr3:uid="{F65B967E-A1F7-4740-82A2-D3CA02551775}" name="Type de Finition" dataDxfId="17"/>
    <tableColumn id="38" xr3:uid="{CB8B7FBD-DA3D-402E-9939-FEAA7767D051}" name="Code Type De Finition" dataDxfId="16"/>
    <tableColumn id="7" xr3:uid="{7319212E-82A3-420B-8EB1-2F73BFAA60C9}" name="Largeur Tissage" dataDxfId="15"/>
    <tableColumn id="8" xr3:uid="{82A2ABC6-5725-40DC-8C16-025B69A1A0F7}" name="Longueur Tissage" dataDxfId="14"/>
    <tableColumn id="9" xr3:uid="{3D3227CB-641E-4012-8477-02325169C093}" name="Nombre de couleur" dataDxfId="13"/>
    <tableColumn id="10" xr3:uid="{1B49DEE8-5EFA-4751-B466-B3A55BAA8A00}" name="Code Nombre de couleur" dataDxfId="12"/>
    <tableColumn id="11" xr3:uid="{21BEB9D4-AD0C-42B0-B657-B8DEC0356804}" name="Qualite" dataDxfId="11"/>
    <tableColumn id="13" xr3:uid="{9344BB00-B75B-486D-81C3-AF607A245AC9}" name="Code Qualite" dataDxfId="10"/>
    <tableColumn id="14" xr3:uid="{B68B0538-88E2-4AEF-8911-FF24E3C3EFAD}" name="Duite Par Cm" dataDxfId="9"/>
    <tableColumn id="15" xr3:uid="{F5F6B3C8-2353-4C9A-BC08-65C3EDEF12E8}" name="Nombre de Duite Total" dataDxfId="8">
      <calculatedColumnFormula>BOM[[#This Row],[Longueur Tissage]]*BOM[[#This Row],[Duite Par Cm]]</calculatedColumnFormula>
    </tableColumn>
    <tableColumn id="16" xr3:uid="{F4388E41-1855-413A-BD16-52550F670E7D}" name="Consommation Selecteur 01" dataDxfId="7"/>
    <tableColumn id="17" xr3:uid="{92158503-67EC-486F-B0D9-0FF7814F70C4}" name="Consommation Selecteur 02" dataDxfId="6"/>
    <tableColumn id="18" xr3:uid="{9AA3C03E-4DE5-4C5C-AB5E-2A1A2A16B214}" name="Consommation Selecteur 03" dataDxfId="5"/>
    <tableColumn id="19" xr3:uid="{653E0140-262B-474C-9316-DB289DF43FFF}" name="Consommation Selecteur 04" dataDxfId="4"/>
    <tableColumn id="20" xr3:uid="{4D8E1597-505F-46D4-82AD-7B4BEB7097D7}" name="Consommation Selecteur 05" dataDxfId="3"/>
    <tableColumn id="21" xr3:uid="{E8F425E7-00BA-4A48-ADCB-83443674EB5E}" name="Consommation Selecteur 06" dataDxfId="2"/>
    <tableColumn id="22" xr3:uid="{43867F1C-CE14-4F2F-91C6-B12232F9B2BD}" name="Consommation Selecteur 07" dataDxfId="1"/>
    <tableColumn id="23" xr3:uid="{921BF21E-E4AD-4042-AA2D-33E57D17F106}" name="Consommation Selecteur 08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458279-C0AE-495B-86C0-CDFF13EA481C}">
  <we:reference id="wa104381701" version="1.0.0.4" store="fr-FR" storeType="OMEX"/>
  <we:alternateReferences>
    <we:reference id="WA104381701" version="1.0.0.4" store="" storeType="OMEX"/>
  </we:alternateReferences>
  <we:properties/>
  <we:bindings>
    <we:binding id="currentSelection" type="table" appref="{5266664A-2114-48E5-BD7C-4AB41728939B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0351-FECC-467D-8A90-3997E160587D}">
  <dimension ref="A1:X20"/>
  <sheetViews>
    <sheetView topLeftCell="A5" workbookViewId="0">
      <selection activeCell="D17" sqref="D17"/>
    </sheetView>
  </sheetViews>
  <sheetFormatPr baseColWidth="10" defaultColWidth="11.42578125" defaultRowHeight="15" x14ac:dyDescent="0.25"/>
  <cols>
    <col min="1" max="1" width="22.28515625" customWidth="1"/>
    <col min="2" max="16" width="10.7109375" customWidth="1"/>
    <col min="17" max="17" width="11.140625" customWidth="1"/>
    <col min="18" max="24" width="10.7109375" customWidth="1"/>
  </cols>
  <sheetData>
    <row r="1" spans="1:24" s="22" customFormat="1" ht="33" customHeight="1" x14ac:dyDescent="0.25">
      <c r="A1" s="19" t="s">
        <v>283</v>
      </c>
      <c r="B1" s="20" t="s">
        <v>8</v>
      </c>
      <c r="C1" s="20" t="s">
        <v>12</v>
      </c>
      <c r="D1" s="20" t="s">
        <v>13</v>
      </c>
      <c r="E1" s="20" t="s">
        <v>14</v>
      </c>
      <c r="F1" s="20" t="s">
        <v>15</v>
      </c>
      <c r="G1" s="20" t="s">
        <v>16</v>
      </c>
      <c r="H1" s="20" t="s">
        <v>17</v>
      </c>
      <c r="I1" s="20" t="s">
        <v>18</v>
      </c>
      <c r="J1" s="20" t="s">
        <v>19</v>
      </c>
      <c r="K1" s="20" t="s">
        <v>20</v>
      </c>
      <c r="L1" s="20" t="s">
        <v>21</v>
      </c>
      <c r="M1" s="20" t="s">
        <v>268</v>
      </c>
      <c r="N1" s="20" t="s">
        <v>22</v>
      </c>
      <c r="O1" s="20" t="s">
        <v>24</v>
      </c>
      <c r="P1" s="20" t="s">
        <v>25</v>
      </c>
      <c r="Q1" s="20" t="s">
        <v>26</v>
      </c>
      <c r="R1" s="20" t="s">
        <v>267</v>
      </c>
      <c r="S1" s="20" t="s">
        <v>28</v>
      </c>
      <c r="T1" s="20" t="s">
        <v>31</v>
      </c>
      <c r="U1" s="20" t="s">
        <v>32</v>
      </c>
      <c r="V1" s="20" t="s">
        <v>34</v>
      </c>
      <c r="W1" s="20" t="s">
        <v>35</v>
      </c>
      <c r="X1" s="21" t="s">
        <v>36</v>
      </c>
    </row>
    <row r="2" spans="1:24" ht="30" customHeight="1" x14ac:dyDescent="0.25">
      <c r="A2" s="17" t="s">
        <v>0</v>
      </c>
      <c r="B2" s="4">
        <v>36525</v>
      </c>
      <c r="C2" s="4">
        <v>36523</v>
      </c>
      <c r="D2" s="4">
        <v>36530</v>
      </c>
      <c r="E2" s="4">
        <v>17494</v>
      </c>
      <c r="F2" s="4">
        <v>27490</v>
      </c>
      <c r="G2" s="4">
        <v>29011</v>
      </c>
      <c r="H2" s="4">
        <v>32696</v>
      </c>
      <c r="I2" s="4">
        <v>17495</v>
      </c>
      <c r="J2" s="4">
        <v>17496</v>
      </c>
      <c r="K2" s="4">
        <v>17491</v>
      </c>
      <c r="L2" s="4">
        <v>17493</v>
      </c>
      <c r="M2" s="4">
        <v>17501</v>
      </c>
      <c r="N2" s="4">
        <v>25065</v>
      </c>
      <c r="O2" s="4">
        <v>31073</v>
      </c>
      <c r="P2" s="4">
        <v>31553</v>
      </c>
      <c r="Q2" s="4">
        <v>32242</v>
      </c>
      <c r="R2" s="4">
        <v>31724</v>
      </c>
      <c r="S2" s="4"/>
      <c r="T2" s="4"/>
      <c r="U2" s="4"/>
      <c r="V2" s="4"/>
      <c r="W2" s="4"/>
      <c r="X2" s="5">
        <v>36787</v>
      </c>
    </row>
    <row r="3" spans="1:24" ht="30" customHeight="1" x14ac:dyDescent="0.25">
      <c r="A3" s="17" t="s">
        <v>270</v>
      </c>
      <c r="B3" s="4" t="s">
        <v>264</v>
      </c>
      <c r="C3" s="4" t="s">
        <v>265</v>
      </c>
      <c r="D3" s="4" t="s">
        <v>264</v>
      </c>
      <c r="E3" s="4" t="s">
        <v>273</v>
      </c>
      <c r="F3" s="4" t="s">
        <v>274</v>
      </c>
      <c r="G3" s="4" t="s">
        <v>274</v>
      </c>
      <c r="H3" s="4" t="s">
        <v>275</v>
      </c>
      <c r="I3" s="4" t="s">
        <v>273</v>
      </c>
      <c r="J3" s="4" t="s">
        <v>273</v>
      </c>
      <c r="K3" s="4" t="s">
        <v>273</v>
      </c>
      <c r="L3" s="4" t="s">
        <v>273</v>
      </c>
      <c r="M3" s="4" t="s">
        <v>273</v>
      </c>
      <c r="N3" s="4" t="s">
        <v>276</v>
      </c>
      <c r="O3" s="4" t="s">
        <v>276</v>
      </c>
      <c r="P3" s="4" t="s">
        <v>276</v>
      </c>
      <c r="Q3" s="4" t="s">
        <v>276</v>
      </c>
      <c r="R3" s="4" t="s">
        <v>276</v>
      </c>
      <c r="S3" s="4"/>
      <c r="T3" s="4"/>
      <c r="U3" s="4"/>
      <c r="V3" s="4"/>
      <c r="W3" s="4"/>
      <c r="X3" s="5" t="s">
        <v>276</v>
      </c>
    </row>
    <row r="4" spans="1:24" ht="30" customHeight="1" x14ac:dyDescent="0.25">
      <c r="A4" s="17" t="s">
        <v>247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>
        <v>9240601</v>
      </c>
      <c r="O4" s="4">
        <v>9113201</v>
      </c>
      <c r="P4" s="4">
        <v>9113401</v>
      </c>
      <c r="Q4" s="4">
        <v>9472101</v>
      </c>
      <c r="R4" s="4"/>
      <c r="S4" s="4"/>
      <c r="T4" s="4"/>
      <c r="U4" s="4"/>
      <c r="V4" s="4"/>
      <c r="W4" s="4"/>
      <c r="X4" s="5"/>
    </row>
    <row r="5" spans="1:24" ht="30" customHeight="1" x14ac:dyDescent="0.25">
      <c r="A5" s="17" t="s">
        <v>269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271</v>
      </c>
      <c r="O5" s="4" t="s">
        <v>271</v>
      </c>
      <c r="P5" s="4" t="s">
        <v>271</v>
      </c>
      <c r="Q5" s="4" t="s">
        <v>272</v>
      </c>
      <c r="R5" s="4"/>
      <c r="S5" s="4"/>
      <c r="T5" s="4"/>
      <c r="U5" s="4"/>
      <c r="V5" s="4"/>
      <c r="W5" s="4"/>
      <c r="X5" s="5"/>
    </row>
    <row r="6" spans="1:24" ht="30" customHeight="1" x14ac:dyDescent="0.25">
      <c r="A6" s="17" t="s">
        <v>246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9</v>
      </c>
      <c r="S6" s="4" t="s">
        <v>29</v>
      </c>
      <c r="T6" s="4" t="s">
        <v>29</v>
      </c>
      <c r="U6" s="4" t="s">
        <v>9</v>
      </c>
      <c r="V6" s="4" t="s">
        <v>9</v>
      </c>
      <c r="W6" s="4" t="s">
        <v>9</v>
      </c>
      <c r="X6" s="5" t="s">
        <v>9</v>
      </c>
    </row>
    <row r="7" spans="1:24" ht="30" customHeight="1" x14ac:dyDescent="0.25">
      <c r="A7" s="17" t="s">
        <v>1</v>
      </c>
      <c r="B7" s="4" t="s">
        <v>10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 t="s">
        <v>10</v>
      </c>
      <c r="M7" s="4" t="s">
        <v>27</v>
      </c>
      <c r="N7" s="4" t="s">
        <v>10</v>
      </c>
      <c r="O7" s="4" t="s">
        <v>10</v>
      </c>
      <c r="P7" s="4" t="s">
        <v>10</v>
      </c>
      <c r="Q7" s="4" t="s">
        <v>27</v>
      </c>
      <c r="R7" s="4" t="s">
        <v>27</v>
      </c>
      <c r="S7" s="4" t="s">
        <v>10</v>
      </c>
      <c r="T7" s="4" t="s">
        <v>10</v>
      </c>
      <c r="U7" s="4" t="s">
        <v>266</v>
      </c>
      <c r="V7" s="4" t="s">
        <v>266</v>
      </c>
      <c r="W7" s="4" t="s">
        <v>10</v>
      </c>
      <c r="X7" s="5" t="s">
        <v>10</v>
      </c>
    </row>
    <row r="8" spans="1:24" ht="30" customHeight="1" x14ac:dyDescent="0.25">
      <c r="A8" s="17" t="s">
        <v>2</v>
      </c>
      <c r="B8" s="4" t="s">
        <v>11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  <c r="I8" s="4" t="s">
        <v>11</v>
      </c>
      <c r="J8" s="4" t="s">
        <v>11</v>
      </c>
      <c r="K8" s="4" t="s">
        <v>11</v>
      </c>
      <c r="L8" s="4" t="s">
        <v>11</v>
      </c>
      <c r="M8" s="4" t="s">
        <v>11</v>
      </c>
      <c r="N8" s="4" t="s">
        <v>11</v>
      </c>
      <c r="O8" s="4" t="s">
        <v>11</v>
      </c>
      <c r="P8" s="4" t="s">
        <v>11</v>
      </c>
      <c r="Q8" s="4" t="s">
        <v>11</v>
      </c>
      <c r="R8" s="4" t="s">
        <v>11</v>
      </c>
      <c r="S8" s="4" t="s">
        <v>30</v>
      </c>
      <c r="T8" s="4" t="s">
        <v>30</v>
      </c>
      <c r="U8" s="4" t="s">
        <v>33</v>
      </c>
      <c r="V8" s="4" t="s">
        <v>33</v>
      </c>
      <c r="W8" s="4" t="s">
        <v>33</v>
      </c>
      <c r="X8" s="5" t="s">
        <v>11</v>
      </c>
    </row>
    <row r="9" spans="1:24" ht="30" customHeight="1" x14ac:dyDescent="0.25">
      <c r="A9" s="17" t="s">
        <v>245</v>
      </c>
      <c r="B9" s="4">
        <v>210</v>
      </c>
      <c r="C9" s="4">
        <v>210</v>
      </c>
      <c r="D9" s="4">
        <v>210</v>
      </c>
      <c r="E9" s="4">
        <v>220</v>
      </c>
      <c r="F9" s="4">
        <v>230</v>
      </c>
      <c r="G9" s="4">
        <v>230</v>
      </c>
      <c r="H9" s="4">
        <v>240</v>
      </c>
      <c r="I9" s="4">
        <v>220</v>
      </c>
      <c r="J9" s="4">
        <v>190</v>
      </c>
      <c r="K9" s="4">
        <v>220</v>
      </c>
      <c r="L9" s="4">
        <v>220</v>
      </c>
      <c r="M9" s="4">
        <v>190</v>
      </c>
      <c r="N9" s="4">
        <v>200</v>
      </c>
      <c r="O9" s="4">
        <v>190</v>
      </c>
      <c r="P9" s="4">
        <v>260</v>
      </c>
      <c r="Q9" s="4">
        <v>260</v>
      </c>
      <c r="R9" s="4">
        <v>190</v>
      </c>
      <c r="S9" s="4">
        <v>230</v>
      </c>
      <c r="T9" s="4">
        <v>230</v>
      </c>
      <c r="U9" s="4"/>
      <c r="V9" s="4"/>
      <c r="W9" s="4"/>
      <c r="X9" s="5">
        <v>210</v>
      </c>
    </row>
    <row r="10" spans="1:24" ht="30" customHeight="1" x14ac:dyDescent="0.25">
      <c r="A10" s="17" t="s">
        <v>3</v>
      </c>
      <c r="B10" s="4">
        <v>100</v>
      </c>
      <c r="C10" s="4">
        <v>100</v>
      </c>
      <c r="D10" s="4">
        <v>100</v>
      </c>
      <c r="E10" s="4">
        <v>200</v>
      </c>
      <c r="F10" s="4">
        <v>100</v>
      </c>
      <c r="G10" s="4">
        <v>100</v>
      </c>
      <c r="H10" s="4">
        <v>100</v>
      </c>
      <c r="I10" s="4">
        <v>200</v>
      </c>
      <c r="J10" s="4">
        <v>100</v>
      </c>
      <c r="K10" s="4">
        <v>200</v>
      </c>
      <c r="L10" s="4">
        <v>200</v>
      </c>
      <c r="M10" s="4">
        <v>100</v>
      </c>
      <c r="N10" s="4">
        <v>180</v>
      </c>
      <c r="O10" s="4">
        <v>100</v>
      </c>
      <c r="P10" s="4">
        <v>240</v>
      </c>
      <c r="Q10" s="4">
        <v>250</v>
      </c>
      <c r="R10" s="4"/>
      <c r="S10" s="4"/>
      <c r="T10" s="4"/>
      <c r="U10" s="4">
        <v>160</v>
      </c>
      <c r="V10" s="4"/>
      <c r="W10" s="4"/>
      <c r="X10" s="5">
        <v>160</v>
      </c>
    </row>
    <row r="11" spans="1:24" ht="30" customHeight="1" x14ac:dyDescent="0.25">
      <c r="A11" s="17" t="s">
        <v>282</v>
      </c>
      <c r="B11" s="4">
        <v>107</v>
      </c>
      <c r="C11" s="4">
        <v>107</v>
      </c>
      <c r="D11" s="4">
        <v>107</v>
      </c>
      <c r="E11" s="4">
        <v>169</v>
      </c>
      <c r="F11" s="4">
        <v>214</v>
      </c>
      <c r="G11" s="4">
        <v>214</v>
      </c>
      <c r="H11" s="4">
        <v>216</v>
      </c>
      <c r="I11" s="4">
        <v>207</v>
      </c>
      <c r="J11" s="4">
        <v>107</v>
      </c>
      <c r="K11" s="4">
        <v>210</v>
      </c>
      <c r="L11" s="4">
        <v>210</v>
      </c>
      <c r="M11" s="4"/>
      <c r="N11" s="4">
        <v>188</v>
      </c>
      <c r="O11" s="4">
        <v>108</v>
      </c>
      <c r="P11" s="4">
        <v>250</v>
      </c>
      <c r="Q11" s="4">
        <v>250</v>
      </c>
      <c r="R11" s="4"/>
      <c r="S11" s="4"/>
      <c r="T11" s="4"/>
      <c r="U11" s="4"/>
      <c r="V11" s="4"/>
      <c r="W11" s="4"/>
      <c r="X11" s="5">
        <v>170</v>
      </c>
    </row>
    <row r="12" spans="1:24" ht="30" customHeight="1" x14ac:dyDescent="0.25">
      <c r="A12" s="17" t="s">
        <v>244</v>
      </c>
      <c r="B12" s="4">
        <v>9</v>
      </c>
      <c r="C12" s="4">
        <v>9</v>
      </c>
      <c r="D12" s="4">
        <v>9</v>
      </c>
      <c r="E12" s="4">
        <v>12</v>
      </c>
      <c r="F12" s="4">
        <v>10</v>
      </c>
      <c r="G12" s="4">
        <v>10</v>
      </c>
      <c r="H12" s="4">
        <v>10</v>
      </c>
      <c r="I12" s="4">
        <v>10</v>
      </c>
      <c r="J12" s="4">
        <v>10</v>
      </c>
      <c r="K12" s="4">
        <v>9</v>
      </c>
      <c r="L12" s="4">
        <v>9</v>
      </c>
      <c r="M12" s="4"/>
      <c r="N12" s="4">
        <v>14.5</v>
      </c>
      <c r="O12" s="4">
        <v>12</v>
      </c>
      <c r="P12" s="4">
        <v>14.5</v>
      </c>
      <c r="Q12" s="4">
        <v>12</v>
      </c>
      <c r="R12" s="4"/>
      <c r="S12" s="4"/>
      <c r="T12" s="4"/>
      <c r="U12" s="4"/>
      <c r="V12" s="4"/>
      <c r="W12" s="4"/>
      <c r="X12" s="5">
        <v>9</v>
      </c>
    </row>
    <row r="13" spans="1:24" ht="30" customHeight="1" x14ac:dyDescent="0.25">
      <c r="A13" s="17" t="s">
        <v>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5"/>
    </row>
    <row r="14" spans="1:24" ht="30" customHeight="1" x14ac:dyDescent="0.25">
      <c r="A14" s="17" t="s">
        <v>281</v>
      </c>
      <c r="B14" s="4">
        <v>3</v>
      </c>
      <c r="C14" s="4">
        <v>2</v>
      </c>
      <c r="D14" s="4">
        <v>2</v>
      </c>
      <c r="E14" s="4">
        <v>4</v>
      </c>
      <c r="F14" s="4">
        <v>8</v>
      </c>
      <c r="G14" s="4">
        <v>8</v>
      </c>
      <c r="H14" s="4">
        <v>3</v>
      </c>
      <c r="I14" s="4">
        <v>6</v>
      </c>
      <c r="J14" s="4">
        <v>4</v>
      </c>
      <c r="K14" s="4">
        <v>4</v>
      </c>
      <c r="L14" s="4">
        <v>3</v>
      </c>
      <c r="M14" s="4"/>
      <c r="N14" s="4">
        <v>4</v>
      </c>
      <c r="O14" s="4">
        <v>4</v>
      </c>
      <c r="P14" s="4">
        <v>4</v>
      </c>
      <c r="Q14" s="4"/>
      <c r="R14" s="4"/>
      <c r="S14" s="4"/>
      <c r="T14" s="4"/>
      <c r="U14" s="4"/>
      <c r="V14" s="4"/>
      <c r="W14" s="4"/>
      <c r="X14" s="5">
        <v>2</v>
      </c>
    </row>
    <row r="15" spans="1:24" ht="30" customHeight="1" x14ac:dyDescent="0.25">
      <c r="A15" s="17" t="s">
        <v>5</v>
      </c>
      <c r="B15" s="4" t="s">
        <v>277</v>
      </c>
      <c r="C15" s="4" t="s">
        <v>277</v>
      </c>
      <c r="D15" s="4" t="s">
        <v>277</v>
      </c>
      <c r="E15" s="4" t="s">
        <v>277</v>
      </c>
      <c r="F15" s="4" t="s">
        <v>278</v>
      </c>
      <c r="G15" s="4" t="s">
        <v>278</v>
      </c>
      <c r="H15" s="4" t="s">
        <v>277</v>
      </c>
      <c r="I15" s="4" t="s">
        <v>277</v>
      </c>
      <c r="J15" s="4" t="s">
        <v>277</v>
      </c>
      <c r="K15" s="4" t="s">
        <v>277</v>
      </c>
      <c r="L15" s="4" t="s">
        <v>277</v>
      </c>
      <c r="M15" s="4"/>
      <c r="N15" s="4" t="s">
        <v>278</v>
      </c>
      <c r="O15" s="4" t="s">
        <v>277</v>
      </c>
      <c r="P15" s="4" t="s">
        <v>278</v>
      </c>
      <c r="Q15" s="4" t="s">
        <v>278</v>
      </c>
      <c r="R15" s="4"/>
      <c r="S15" s="4"/>
      <c r="T15" s="4"/>
      <c r="U15" s="4"/>
      <c r="V15" s="4"/>
      <c r="W15" s="4"/>
      <c r="X15" s="5" t="s">
        <v>277</v>
      </c>
    </row>
    <row r="16" spans="1:24" ht="30" customHeight="1" x14ac:dyDescent="0.25">
      <c r="A16" s="17" t="s">
        <v>6</v>
      </c>
      <c r="B16" s="4" t="s">
        <v>280</v>
      </c>
      <c r="C16" s="4" t="s">
        <v>280</v>
      </c>
      <c r="D16" s="4" t="s">
        <v>280</v>
      </c>
      <c r="E16" s="4" t="s">
        <v>279</v>
      </c>
      <c r="F16" s="4" t="s">
        <v>280</v>
      </c>
      <c r="G16" s="4" t="s">
        <v>280</v>
      </c>
      <c r="H16" s="4" t="s">
        <v>279</v>
      </c>
      <c r="I16" s="4" t="s">
        <v>279</v>
      </c>
      <c r="J16" s="4" t="s">
        <v>279</v>
      </c>
      <c r="K16" s="4" t="s">
        <v>279</v>
      </c>
      <c r="L16" s="4" t="s">
        <v>279</v>
      </c>
      <c r="M16" s="4" t="s">
        <v>279</v>
      </c>
      <c r="N16" s="4" t="s">
        <v>280</v>
      </c>
      <c r="O16" s="4" t="s">
        <v>280</v>
      </c>
      <c r="P16" s="4" t="s">
        <v>280</v>
      </c>
      <c r="Q16" s="4" t="s">
        <v>280</v>
      </c>
      <c r="R16" s="4"/>
      <c r="S16" s="4"/>
      <c r="T16" s="4"/>
      <c r="U16" s="4"/>
      <c r="V16" s="4"/>
      <c r="W16" s="4"/>
      <c r="X16" s="5" t="s">
        <v>280</v>
      </c>
    </row>
    <row r="17" spans="1:24" ht="30" customHeight="1" x14ac:dyDescent="0.25">
      <c r="A17" s="17" t="s">
        <v>7</v>
      </c>
      <c r="B17" s="4">
        <v>230</v>
      </c>
      <c r="C17" s="4">
        <v>250</v>
      </c>
      <c r="D17" s="4">
        <v>260</v>
      </c>
      <c r="E17" s="4">
        <v>180</v>
      </c>
      <c r="F17" s="4">
        <v>190</v>
      </c>
      <c r="G17" s="4">
        <v>210</v>
      </c>
      <c r="H17" s="4">
        <v>180</v>
      </c>
      <c r="I17" s="4">
        <v>210</v>
      </c>
      <c r="J17" s="4">
        <v>200</v>
      </c>
      <c r="K17" s="4">
        <v>210</v>
      </c>
      <c r="L17" s="4">
        <v>210</v>
      </c>
      <c r="M17" s="4">
        <v>150</v>
      </c>
      <c r="N17" s="4">
        <v>220</v>
      </c>
      <c r="O17" s="4">
        <v>220</v>
      </c>
      <c r="P17" s="4">
        <v>220</v>
      </c>
      <c r="Q17" s="4">
        <v>0</v>
      </c>
      <c r="R17" s="4"/>
      <c r="S17" s="4">
        <v>150</v>
      </c>
      <c r="T17" s="4">
        <v>150</v>
      </c>
      <c r="U17" s="4">
        <v>233</v>
      </c>
      <c r="V17" s="4">
        <v>233</v>
      </c>
      <c r="W17" s="4">
        <v>233</v>
      </c>
      <c r="X17" s="5">
        <v>230</v>
      </c>
    </row>
    <row r="18" spans="1:24" ht="30" customHeight="1" x14ac:dyDescent="0.25">
      <c r="A18" s="17" t="s">
        <v>203</v>
      </c>
      <c r="B18" s="4">
        <v>1</v>
      </c>
      <c r="C18" s="4">
        <v>1</v>
      </c>
      <c r="D18" s="4">
        <v>1</v>
      </c>
      <c r="E18" s="4">
        <v>1</v>
      </c>
      <c r="F18" s="4">
        <v>0.5</v>
      </c>
      <c r="G18" s="4">
        <v>0.5</v>
      </c>
      <c r="H18" s="4">
        <v>0.5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/>
      <c r="S18" s="4">
        <v>0.5</v>
      </c>
      <c r="T18" s="4">
        <v>0.5</v>
      </c>
      <c r="U18" s="4">
        <v>1</v>
      </c>
      <c r="V18" s="4">
        <v>1</v>
      </c>
      <c r="W18" s="4">
        <v>1</v>
      </c>
      <c r="X18" s="5">
        <v>1</v>
      </c>
    </row>
    <row r="19" spans="1:24" ht="30" customHeight="1" x14ac:dyDescent="0.25">
      <c r="A19" s="18" t="s">
        <v>217</v>
      </c>
      <c r="B19" s="13" t="s">
        <v>218</v>
      </c>
      <c r="C19" s="13" t="s">
        <v>218</v>
      </c>
      <c r="D19" s="13" t="s">
        <v>218</v>
      </c>
      <c r="E19" s="13" t="s">
        <v>218</v>
      </c>
      <c r="F19" s="13" t="s">
        <v>219</v>
      </c>
      <c r="G19" s="13" t="s">
        <v>219</v>
      </c>
      <c r="H19" s="13" t="s">
        <v>219</v>
      </c>
      <c r="I19" s="13" t="s">
        <v>219</v>
      </c>
      <c r="J19" s="13" t="s">
        <v>219</v>
      </c>
      <c r="K19" s="13" t="s">
        <v>219</v>
      </c>
      <c r="L19" s="13" t="s">
        <v>219</v>
      </c>
      <c r="M19" s="13" t="s">
        <v>219</v>
      </c>
      <c r="N19" s="13" t="s">
        <v>218</v>
      </c>
      <c r="O19" s="13" t="s">
        <v>218</v>
      </c>
      <c r="P19" s="13" t="s">
        <v>218</v>
      </c>
      <c r="Q19" s="13" t="s">
        <v>218</v>
      </c>
      <c r="R19" s="13"/>
      <c r="S19" s="13" t="s">
        <v>219</v>
      </c>
      <c r="T19" s="13" t="s">
        <v>219</v>
      </c>
      <c r="U19" s="13" t="s">
        <v>219</v>
      </c>
      <c r="V19" s="13" t="s">
        <v>219</v>
      </c>
      <c r="W19" s="13" t="s">
        <v>219</v>
      </c>
      <c r="X19" s="6" t="s">
        <v>218</v>
      </c>
    </row>
    <row r="20" spans="1:24" ht="30.75" customHeight="1" x14ac:dyDescent="0.25">
      <c r="A20" s="18" t="s">
        <v>298</v>
      </c>
      <c r="B20" s="13" t="s">
        <v>286</v>
      </c>
      <c r="C20" s="13" t="s">
        <v>286</v>
      </c>
      <c r="D20" s="13" t="s">
        <v>286</v>
      </c>
      <c r="E20" s="13" t="s">
        <v>286</v>
      </c>
      <c r="F20" s="13" t="s">
        <v>287</v>
      </c>
      <c r="G20" s="13" t="s">
        <v>287</v>
      </c>
      <c r="H20" s="13" t="s">
        <v>287</v>
      </c>
      <c r="I20" s="13" t="s">
        <v>287</v>
      </c>
      <c r="J20" s="13" t="s">
        <v>287</v>
      </c>
      <c r="K20" s="13" t="s">
        <v>287</v>
      </c>
      <c r="L20" s="13" t="s">
        <v>287</v>
      </c>
      <c r="M20" s="13" t="s">
        <v>287</v>
      </c>
      <c r="N20" s="13" t="s">
        <v>288</v>
      </c>
      <c r="O20" s="13" t="s">
        <v>288</v>
      </c>
      <c r="P20" s="13" t="s">
        <v>288</v>
      </c>
      <c r="Q20" s="13" t="s">
        <v>288</v>
      </c>
      <c r="R20" s="13" t="s">
        <v>286</v>
      </c>
      <c r="S20" s="13" t="s">
        <v>30</v>
      </c>
      <c r="T20" s="13" t="s">
        <v>30</v>
      </c>
      <c r="U20" s="13" t="s">
        <v>33</v>
      </c>
      <c r="V20" s="13" t="s">
        <v>33</v>
      </c>
      <c r="W20" s="13" t="s">
        <v>33</v>
      </c>
      <c r="X20" s="6" t="s">
        <v>286</v>
      </c>
    </row>
  </sheetData>
  <phoneticPr fontId="4" type="noConversion"/>
  <pageMargins left="0.25" right="0.25" top="0.75" bottom="0.75" header="0.3" footer="0.3"/>
  <pageSetup paperSize="9" fitToHeight="0" orientation="landscape"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5266664A-2114-48E5-BD7C-4AB41728939B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C9F7-7C0D-43F3-9781-6E2395347B9A}">
  <dimension ref="A1:G10"/>
  <sheetViews>
    <sheetView workbookViewId="0">
      <selection activeCell="E20" sqref="E20"/>
    </sheetView>
  </sheetViews>
  <sheetFormatPr baseColWidth="10" defaultRowHeight="15" x14ac:dyDescent="0.25"/>
  <cols>
    <col min="2" max="2" width="13.5703125" customWidth="1"/>
    <col min="3" max="3" width="24.140625" customWidth="1"/>
    <col min="4" max="4" width="20" customWidth="1"/>
    <col min="5" max="5" width="14.5703125" customWidth="1"/>
    <col min="6" max="6" width="13.42578125" customWidth="1"/>
  </cols>
  <sheetData>
    <row r="1" spans="1:7" ht="29.25" customHeight="1" x14ac:dyDescent="0.25">
      <c r="A1" s="32" t="s">
        <v>284</v>
      </c>
      <c r="B1" s="33" t="s">
        <v>285</v>
      </c>
      <c r="C1" s="33" t="s">
        <v>307</v>
      </c>
      <c r="D1" s="34" t="s">
        <v>294</v>
      </c>
      <c r="E1" s="33" t="s">
        <v>293</v>
      </c>
      <c r="F1" s="33" t="s">
        <v>308</v>
      </c>
      <c r="G1" s="33" t="s">
        <v>302</v>
      </c>
    </row>
    <row r="2" spans="1:7" x14ac:dyDescent="0.25">
      <c r="A2" s="23" t="s">
        <v>289</v>
      </c>
      <c r="B2" s="1" t="s">
        <v>300</v>
      </c>
      <c r="C2" s="1" t="s">
        <v>286</v>
      </c>
      <c r="D2" s="2" t="s">
        <v>295</v>
      </c>
      <c r="E2" s="24">
        <v>8</v>
      </c>
      <c r="F2" s="31">
        <v>6</v>
      </c>
      <c r="G2" s="25">
        <v>4.6950000000000003</v>
      </c>
    </row>
    <row r="3" spans="1:7" x14ac:dyDescent="0.25">
      <c r="A3" s="23" t="s">
        <v>290</v>
      </c>
      <c r="B3" s="1" t="s">
        <v>300</v>
      </c>
      <c r="C3" s="1" t="s">
        <v>287</v>
      </c>
      <c r="D3" s="2" t="s">
        <v>296</v>
      </c>
      <c r="E3" s="24">
        <v>8</v>
      </c>
      <c r="F3" s="31">
        <v>6</v>
      </c>
      <c r="G3" s="25">
        <v>4.6950000000000003</v>
      </c>
    </row>
    <row r="4" spans="1:7" x14ac:dyDescent="0.25">
      <c r="A4" s="23" t="s">
        <v>291</v>
      </c>
      <c r="B4" s="1" t="s">
        <v>300</v>
      </c>
      <c r="C4" s="1" t="s">
        <v>286</v>
      </c>
      <c r="D4" s="2" t="s">
        <v>296</v>
      </c>
      <c r="E4" s="24">
        <v>8</v>
      </c>
      <c r="F4" s="31">
        <v>6</v>
      </c>
      <c r="G4" s="25">
        <v>4.6950000000000003</v>
      </c>
    </row>
    <row r="5" spans="1:7" x14ac:dyDescent="0.25">
      <c r="A5" s="23" t="s">
        <v>292</v>
      </c>
      <c r="B5" s="1" t="s">
        <v>300</v>
      </c>
      <c r="C5" s="1" t="s">
        <v>287</v>
      </c>
      <c r="D5" s="2" t="s">
        <v>295</v>
      </c>
      <c r="E5" s="24">
        <v>8</v>
      </c>
      <c r="F5" s="31">
        <v>6</v>
      </c>
      <c r="G5" s="25">
        <v>4.6950000000000003</v>
      </c>
    </row>
    <row r="6" spans="1:7" x14ac:dyDescent="0.25">
      <c r="A6" s="23" t="s">
        <v>301</v>
      </c>
      <c r="B6" s="1" t="s">
        <v>304</v>
      </c>
      <c r="C6" s="1" t="s">
        <v>306</v>
      </c>
      <c r="D6" s="2" t="s">
        <v>296</v>
      </c>
      <c r="E6" s="24">
        <v>8</v>
      </c>
      <c r="F6" s="31">
        <v>6</v>
      </c>
      <c r="G6" s="25">
        <v>7.1989999999999998</v>
      </c>
    </row>
    <row r="7" spans="1:7" x14ac:dyDescent="0.25">
      <c r="A7" s="23" t="s">
        <v>305</v>
      </c>
      <c r="B7" s="1" t="s">
        <v>304</v>
      </c>
      <c r="C7" s="1" t="s">
        <v>306</v>
      </c>
      <c r="D7" s="2" t="s">
        <v>295</v>
      </c>
      <c r="E7" s="24">
        <v>8</v>
      </c>
      <c r="F7" s="31">
        <v>6</v>
      </c>
      <c r="G7" s="25">
        <v>7.1989999999999998</v>
      </c>
    </row>
    <row r="8" spans="1:7" x14ac:dyDescent="0.25">
      <c r="A8" s="23" t="s">
        <v>303</v>
      </c>
      <c r="B8" s="1" t="s">
        <v>300</v>
      </c>
      <c r="C8" s="1" t="s">
        <v>288</v>
      </c>
      <c r="D8" s="2" t="s">
        <v>296</v>
      </c>
      <c r="E8" s="24">
        <v>4</v>
      </c>
      <c r="F8" s="31">
        <v>6</v>
      </c>
      <c r="G8" s="25">
        <v>4.6950000000000003</v>
      </c>
    </row>
    <row r="9" spans="1:7" x14ac:dyDescent="0.25">
      <c r="A9" s="23" t="s">
        <v>30</v>
      </c>
      <c r="B9" s="1" t="s">
        <v>299</v>
      </c>
      <c r="C9" s="1" t="s">
        <v>30</v>
      </c>
      <c r="D9" s="2" t="s">
        <v>297</v>
      </c>
      <c r="E9" s="24">
        <v>8</v>
      </c>
      <c r="F9" s="31">
        <v>6</v>
      </c>
      <c r="G9" s="26">
        <v>0</v>
      </c>
    </row>
    <row r="10" spans="1:7" x14ac:dyDescent="0.25">
      <c r="A10" s="27" t="s">
        <v>33</v>
      </c>
      <c r="B10" s="28" t="s">
        <v>299</v>
      </c>
      <c r="C10" s="28" t="s">
        <v>33</v>
      </c>
      <c r="D10" s="29" t="s">
        <v>297</v>
      </c>
      <c r="E10" s="24">
        <v>8</v>
      </c>
      <c r="F10" s="31">
        <v>6</v>
      </c>
      <c r="G10" s="30"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F8E4-DE3C-4A45-8BD2-02983831EBE2}">
  <dimension ref="A1:AB204"/>
  <sheetViews>
    <sheetView tabSelected="1" topLeftCell="E1" workbookViewId="0">
      <selection activeCell="O14" sqref="O14"/>
    </sheetView>
  </sheetViews>
  <sheetFormatPr baseColWidth="10" defaultColWidth="9.140625" defaultRowHeight="15" x14ac:dyDescent="0.25"/>
  <cols>
    <col min="1" max="1" width="17.28515625" customWidth="1"/>
    <col min="2" max="2" width="20.28515625" customWidth="1"/>
    <col min="3" max="3" width="15.5703125" customWidth="1"/>
    <col min="4" max="4" width="21.28515625" customWidth="1"/>
    <col min="5" max="8" width="12.5703125" customWidth="1"/>
    <col min="9" max="9" width="14" customWidth="1"/>
    <col min="10" max="10" width="11.85546875" customWidth="1"/>
    <col min="11" max="11" width="15.7109375" customWidth="1"/>
    <col min="12" max="12" width="19.7109375" customWidth="1"/>
    <col min="13" max="13" width="18.42578125" customWidth="1"/>
    <col min="14" max="14" width="19" customWidth="1"/>
    <col min="15" max="15" width="22.140625" customWidth="1"/>
    <col min="16" max="16" width="13" customWidth="1"/>
    <col min="17" max="18" width="10.42578125" customWidth="1"/>
    <col min="19" max="19" width="15.28515625" customWidth="1"/>
    <col min="20" max="20" width="25" customWidth="1"/>
    <col min="21" max="21" width="14" customWidth="1"/>
    <col min="22" max="22" width="13.140625" customWidth="1"/>
    <col min="23" max="23" width="15.140625" customWidth="1"/>
    <col min="24" max="24" width="13" customWidth="1"/>
    <col min="25" max="25" width="13.42578125" customWidth="1"/>
    <col min="26" max="26" width="13.85546875" customWidth="1"/>
    <col min="27" max="27" width="13.28515625" customWidth="1"/>
    <col min="28" max="28" width="16.85546875" customWidth="1"/>
  </cols>
  <sheetData>
    <row r="1" spans="1:28" ht="69.75" customHeight="1" x14ac:dyDescent="0.25">
      <c r="A1" s="15" t="s">
        <v>37</v>
      </c>
      <c r="B1" s="16" t="s">
        <v>197</v>
      </c>
      <c r="C1" s="16" t="s">
        <v>321</v>
      </c>
      <c r="D1" s="16" t="s">
        <v>38</v>
      </c>
      <c r="E1" s="16" t="s">
        <v>39</v>
      </c>
      <c r="F1" s="16" t="s">
        <v>198</v>
      </c>
      <c r="G1" s="16" t="s">
        <v>327</v>
      </c>
      <c r="H1" s="16" t="s">
        <v>237</v>
      </c>
      <c r="I1" s="16" t="s">
        <v>249</v>
      </c>
      <c r="J1" s="16" t="s">
        <v>330</v>
      </c>
      <c r="K1" s="16" t="s">
        <v>317</v>
      </c>
      <c r="L1" s="16" t="s">
        <v>322</v>
      </c>
      <c r="M1" s="16" t="s">
        <v>328</v>
      </c>
      <c r="N1" s="16" t="s">
        <v>329</v>
      </c>
      <c r="O1" s="16" t="s">
        <v>202</v>
      </c>
      <c r="P1" s="16" t="s">
        <v>242</v>
      </c>
      <c r="Q1" s="16" t="s">
        <v>240</v>
      </c>
      <c r="R1" s="16" t="s">
        <v>239</v>
      </c>
      <c r="S1" s="16" t="s">
        <v>331</v>
      </c>
      <c r="T1" s="16" t="s">
        <v>243</v>
      </c>
      <c r="U1" s="16" t="s">
        <v>309</v>
      </c>
      <c r="V1" s="16" t="s">
        <v>310</v>
      </c>
      <c r="W1" s="16" t="s">
        <v>311</v>
      </c>
      <c r="X1" s="16" t="s">
        <v>312</v>
      </c>
      <c r="Y1" s="16" t="s">
        <v>313</v>
      </c>
      <c r="Z1" s="16" t="s">
        <v>314</v>
      </c>
      <c r="AA1" s="16" t="s">
        <v>315</v>
      </c>
      <c r="AB1" s="16" t="s">
        <v>316</v>
      </c>
    </row>
    <row r="2" spans="1:28" x14ac:dyDescent="0.25">
      <c r="A2" s="3" t="str">
        <f>CONCATENATE(BOM[[#This Row],[Code Modèle]],BOM[[#This Row],[Code Dimensions]],"(",BOM[[#This Row],[Code Type De Finition]],")","-",BOM[[#This Row],[Code Nombre de couleur]])</f>
        <v>AR1020(FR)-B</v>
      </c>
      <c r="B2" s="4" t="s">
        <v>40</v>
      </c>
      <c r="C2" s="4" t="s">
        <v>41</v>
      </c>
      <c r="D2" s="4" t="s">
        <v>221</v>
      </c>
      <c r="E2" s="4" t="s">
        <v>227</v>
      </c>
      <c r="F2" s="4" t="s">
        <v>43</v>
      </c>
      <c r="G2" s="7">
        <v>1020</v>
      </c>
      <c r="H2" s="4" t="s">
        <v>251</v>
      </c>
      <c r="I2" s="4" t="s">
        <v>250</v>
      </c>
      <c r="J2" s="4">
        <v>1</v>
      </c>
      <c r="K2" s="4" t="s">
        <v>231</v>
      </c>
      <c r="L2" s="4" t="s">
        <v>42</v>
      </c>
      <c r="M2" s="4">
        <v>100</v>
      </c>
      <c r="N2" s="4">
        <v>240</v>
      </c>
      <c r="O2" s="4" t="s">
        <v>44</v>
      </c>
      <c r="P2" s="4" t="s">
        <v>45</v>
      </c>
      <c r="Q2" s="4" t="s">
        <v>46</v>
      </c>
      <c r="R2" s="4" t="s">
        <v>241</v>
      </c>
      <c r="S2" s="4">
        <v>10.8</v>
      </c>
      <c r="T2" s="4">
        <f>BOM[[#This Row],[Longueur Tissage]]*BOM[[#This Row],[Duite Par Cm]]</f>
        <v>2592</v>
      </c>
      <c r="U2" s="8">
        <v>0.24</v>
      </c>
      <c r="V2" s="8">
        <v>0.11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x14ac:dyDescent="0.25">
      <c r="A3" s="3" t="str">
        <f>CONCATENATE(BOM[[#This Row],[Code Modèle]],BOM[[#This Row],[Code Dimensions]],"(",BOM[[#This Row],[Code Type De Finition]],")","-",BOM[[#This Row],[Code Nombre de couleur]])</f>
        <v>AR1020(FR)-T</v>
      </c>
      <c r="B3" s="4" t="s">
        <v>40</v>
      </c>
      <c r="C3" s="4" t="s">
        <v>41</v>
      </c>
      <c r="D3" s="4" t="s">
        <v>221</v>
      </c>
      <c r="E3" s="4" t="s">
        <v>227</v>
      </c>
      <c r="F3" s="4" t="s">
        <v>43</v>
      </c>
      <c r="G3" s="7">
        <v>1020</v>
      </c>
      <c r="H3" s="4" t="s">
        <v>251</v>
      </c>
      <c r="I3" s="4" t="s">
        <v>250</v>
      </c>
      <c r="J3" s="4">
        <v>1</v>
      </c>
      <c r="K3" s="4" t="s">
        <v>231</v>
      </c>
      <c r="L3" s="4" t="s">
        <v>42</v>
      </c>
      <c r="M3" s="4">
        <v>100</v>
      </c>
      <c r="N3" s="4">
        <v>240</v>
      </c>
      <c r="O3" s="4" t="s">
        <v>47</v>
      </c>
      <c r="P3" s="4" t="s">
        <v>48</v>
      </c>
      <c r="Q3" s="4" t="s">
        <v>46</v>
      </c>
      <c r="R3" s="4" t="s">
        <v>241</v>
      </c>
      <c r="S3" s="4">
        <v>10.8</v>
      </c>
      <c r="T3" s="4">
        <f>BOM[[#This Row],[Longueur Tissage]]*BOM[[#This Row],[Duite Par Cm]]</f>
        <v>2592</v>
      </c>
      <c r="U3" s="8">
        <v>0.24</v>
      </c>
      <c r="V3" s="8">
        <v>0.08</v>
      </c>
      <c r="W3" s="8">
        <v>0.05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x14ac:dyDescent="0.25">
      <c r="A4" s="3" t="str">
        <f>CONCATENATE(BOM[[#This Row],[Code Modèle]],BOM[[#This Row],[Code Dimensions]],"(",BOM[[#This Row],[Code Type De Finition]],")","-",BOM[[#This Row],[Code Nombre de couleur]])</f>
        <v>AR1626(FR)-B</v>
      </c>
      <c r="B4" s="4" t="s">
        <v>40</v>
      </c>
      <c r="C4" s="4" t="s">
        <v>41</v>
      </c>
      <c r="D4" s="4" t="s">
        <v>221</v>
      </c>
      <c r="E4" s="4" t="s">
        <v>227</v>
      </c>
      <c r="F4" s="4" t="s">
        <v>49</v>
      </c>
      <c r="G4" s="7">
        <v>1626</v>
      </c>
      <c r="H4" s="4" t="s">
        <v>252</v>
      </c>
      <c r="I4" s="4" t="s">
        <v>250</v>
      </c>
      <c r="J4" s="4">
        <v>1</v>
      </c>
      <c r="K4" s="4" t="s">
        <v>231</v>
      </c>
      <c r="L4" s="4" t="s">
        <v>42</v>
      </c>
      <c r="M4" s="4">
        <v>160</v>
      </c>
      <c r="N4" s="4">
        <v>300</v>
      </c>
      <c r="O4" s="4" t="s">
        <v>44</v>
      </c>
      <c r="P4" s="4" t="s">
        <v>45</v>
      </c>
      <c r="Q4" s="4" t="s">
        <v>46</v>
      </c>
      <c r="R4" s="4" t="s">
        <v>241</v>
      </c>
      <c r="S4" s="4">
        <v>10.8</v>
      </c>
      <c r="T4" s="4">
        <f>BOM[[#This Row],[Longueur Tissage]]*BOM[[#This Row],[Duite Par Cm]]</f>
        <v>3240</v>
      </c>
      <c r="U4" s="8">
        <v>0.48</v>
      </c>
      <c r="V4" s="8">
        <v>0.22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</row>
    <row r="5" spans="1:28" x14ac:dyDescent="0.25">
      <c r="A5" s="3" t="str">
        <f>CONCATENATE(BOM[[#This Row],[Code Modèle]],BOM[[#This Row],[Code Dimensions]],"(",BOM[[#This Row],[Code Type De Finition]],")","-",BOM[[#This Row],[Code Nombre de couleur]])</f>
        <v>AR1626(FR)-T</v>
      </c>
      <c r="B5" s="4" t="s">
        <v>40</v>
      </c>
      <c r="C5" s="4" t="s">
        <v>41</v>
      </c>
      <c r="D5" s="4" t="s">
        <v>221</v>
      </c>
      <c r="E5" s="4" t="s">
        <v>227</v>
      </c>
      <c r="F5" s="4" t="s">
        <v>49</v>
      </c>
      <c r="G5" s="7">
        <v>1626</v>
      </c>
      <c r="H5" s="4" t="s">
        <v>252</v>
      </c>
      <c r="I5" s="4" t="s">
        <v>250</v>
      </c>
      <c r="J5" s="4">
        <v>1</v>
      </c>
      <c r="K5" s="4" t="s">
        <v>231</v>
      </c>
      <c r="L5" s="4" t="s">
        <v>42</v>
      </c>
      <c r="M5" s="4">
        <v>160</v>
      </c>
      <c r="N5" s="4">
        <v>300</v>
      </c>
      <c r="O5" s="4" t="s">
        <v>47</v>
      </c>
      <c r="P5" s="4" t="s">
        <v>48</v>
      </c>
      <c r="Q5" s="4" t="s">
        <v>46</v>
      </c>
      <c r="R5" s="4" t="s">
        <v>241</v>
      </c>
      <c r="S5" s="4">
        <v>10.4</v>
      </c>
      <c r="T5" s="4">
        <f>BOM[[#This Row],[Longueur Tissage]]*BOM[[#This Row],[Duite Par Cm]]</f>
        <v>3120</v>
      </c>
      <c r="U5" s="8">
        <v>0.48</v>
      </c>
      <c r="V5" s="8">
        <v>0.16</v>
      </c>
      <c r="W5" s="8">
        <v>0.1</v>
      </c>
      <c r="X5" s="8">
        <v>0</v>
      </c>
      <c r="Y5" s="8">
        <v>0</v>
      </c>
      <c r="Z5" s="8">
        <v>0</v>
      </c>
      <c r="AA5" s="8">
        <v>0</v>
      </c>
      <c r="AB5" s="8">
        <v>0</v>
      </c>
    </row>
    <row r="6" spans="1:28" x14ac:dyDescent="0.25">
      <c r="A6" s="3" t="str">
        <f>CONCATENATE(BOM[[#This Row],[Code Modèle]],BOM[[#This Row],[Code Dimensions]],"(",BOM[[#This Row],[Code Type De Finition]],")","-",BOM[[#This Row],[Code Nombre de couleur]])</f>
        <v>AR2020(FR)-B</v>
      </c>
      <c r="B6" s="4" t="s">
        <v>40</v>
      </c>
      <c r="C6" s="4" t="s">
        <v>41</v>
      </c>
      <c r="D6" s="4" t="s">
        <v>221</v>
      </c>
      <c r="E6" s="4" t="s">
        <v>227</v>
      </c>
      <c r="F6" s="4" t="s">
        <v>50</v>
      </c>
      <c r="G6" s="7">
        <v>2020</v>
      </c>
      <c r="H6" s="4" t="s">
        <v>251</v>
      </c>
      <c r="I6" s="4" t="s">
        <v>250</v>
      </c>
      <c r="J6" s="4">
        <v>1</v>
      </c>
      <c r="K6" s="4" t="s">
        <v>231</v>
      </c>
      <c r="L6" s="4" t="s">
        <v>42</v>
      </c>
      <c r="M6" s="4">
        <v>200</v>
      </c>
      <c r="N6" s="4">
        <v>240</v>
      </c>
      <c r="O6" s="4" t="s">
        <v>44</v>
      </c>
      <c r="P6" s="4" t="s">
        <v>45</v>
      </c>
      <c r="Q6" s="4" t="s">
        <v>46</v>
      </c>
      <c r="R6" s="4" t="s">
        <v>241</v>
      </c>
      <c r="S6" s="4">
        <v>10.8</v>
      </c>
      <c r="T6" s="4">
        <f>BOM[[#This Row],[Longueur Tissage]]*BOM[[#This Row],[Duite Par Cm]]</f>
        <v>2592</v>
      </c>
      <c r="U6" s="8">
        <v>0.48</v>
      </c>
      <c r="V6" s="8">
        <v>0.22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</row>
    <row r="7" spans="1:28" x14ac:dyDescent="0.25">
      <c r="A7" s="3" t="str">
        <f>CONCATENATE(BOM[[#This Row],[Code Modèle]],BOM[[#This Row],[Code Dimensions]],"(",BOM[[#This Row],[Code Type De Finition]],")","-",BOM[[#This Row],[Code Nombre de couleur]])</f>
        <v>AR2020(FR)-T</v>
      </c>
      <c r="B7" s="4" t="s">
        <v>40</v>
      </c>
      <c r="C7" s="4" t="s">
        <v>41</v>
      </c>
      <c r="D7" s="4" t="s">
        <v>221</v>
      </c>
      <c r="E7" s="4" t="s">
        <v>227</v>
      </c>
      <c r="F7" s="4" t="s">
        <v>50</v>
      </c>
      <c r="G7" s="7">
        <v>2020</v>
      </c>
      <c r="H7" s="4" t="s">
        <v>251</v>
      </c>
      <c r="I7" s="4" t="s">
        <v>250</v>
      </c>
      <c r="J7" s="4">
        <v>1</v>
      </c>
      <c r="K7" s="4" t="s">
        <v>231</v>
      </c>
      <c r="L7" s="4" t="s">
        <v>42</v>
      </c>
      <c r="M7" s="4">
        <v>200</v>
      </c>
      <c r="N7" s="4">
        <v>240</v>
      </c>
      <c r="O7" s="4" t="s">
        <v>47</v>
      </c>
      <c r="P7" s="4" t="s">
        <v>48</v>
      </c>
      <c r="Q7" s="4" t="s">
        <v>46</v>
      </c>
      <c r="R7" s="4" t="s">
        <v>241</v>
      </c>
      <c r="S7" s="4">
        <v>10.8</v>
      </c>
      <c r="T7" s="4">
        <f>BOM[[#This Row],[Longueur Tissage]]*BOM[[#This Row],[Duite Par Cm]]</f>
        <v>2592</v>
      </c>
      <c r="U7" s="8">
        <v>0.48</v>
      </c>
      <c r="V7" s="8">
        <v>0.16</v>
      </c>
      <c r="W7" s="8">
        <v>0.1</v>
      </c>
      <c r="X7" s="8">
        <v>0</v>
      </c>
      <c r="Y7" s="8">
        <v>0</v>
      </c>
      <c r="Z7" s="8">
        <v>0</v>
      </c>
      <c r="AA7" s="8">
        <v>0</v>
      </c>
      <c r="AB7" s="8">
        <v>0</v>
      </c>
    </row>
    <row r="8" spans="1:28" x14ac:dyDescent="0.25">
      <c r="A8" s="3" t="str">
        <f>CONCATENATE(BOM[[#This Row],[Code Modèle]],BOM[[#This Row],[Code Dimensions]],"(",BOM[[#This Row],[Code Type De Finition]],")","-",BOM[[#This Row],[Code Nombre de couleur]])</f>
        <v>AR2030(FR)-B</v>
      </c>
      <c r="B8" s="4" t="s">
        <v>40</v>
      </c>
      <c r="C8" s="4" t="s">
        <v>41</v>
      </c>
      <c r="D8" s="4" t="s">
        <v>221</v>
      </c>
      <c r="E8" s="4" t="s">
        <v>227</v>
      </c>
      <c r="F8" s="4" t="s">
        <v>51</v>
      </c>
      <c r="G8" s="7">
        <v>2030</v>
      </c>
      <c r="H8" s="4" t="s">
        <v>252</v>
      </c>
      <c r="I8" s="4" t="s">
        <v>250</v>
      </c>
      <c r="J8" s="4">
        <v>1</v>
      </c>
      <c r="K8" s="4" t="s">
        <v>231</v>
      </c>
      <c r="L8" s="4" t="s">
        <v>42</v>
      </c>
      <c r="M8" s="4">
        <v>200</v>
      </c>
      <c r="N8" s="4">
        <v>340</v>
      </c>
      <c r="O8" s="4" t="s">
        <v>44</v>
      </c>
      <c r="P8" s="4" t="s">
        <v>45</v>
      </c>
      <c r="Q8" s="4" t="s">
        <v>46</v>
      </c>
      <c r="R8" s="4" t="s">
        <v>241</v>
      </c>
      <c r="S8" s="4">
        <v>10.8</v>
      </c>
      <c r="T8" s="4">
        <f>BOM[[#This Row],[Longueur Tissage]]*BOM[[#This Row],[Duite Par Cm]]</f>
        <v>3672.0000000000005</v>
      </c>
      <c r="U8" s="8">
        <v>0.8</v>
      </c>
      <c r="V8" s="8">
        <v>0.3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</row>
    <row r="9" spans="1:28" x14ac:dyDescent="0.25">
      <c r="A9" s="3" t="str">
        <f>CONCATENATE(BOM[[#This Row],[Code Modèle]],BOM[[#This Row],[Code Dimensions]],"(",BOM[[#This Row],[Code Type De Finition]],")","-",BOM[[#This Row],[Code Nombre de couleur]])</f>
        <v>AR2030(FR)-T</v>
      </c>
      <c r="B9" s="4" t="s">
        <v>40</v>
      </c>
      <c r="C9" s="4" t="s">
        <v>41</v>
      </c>
      <c r="D9" s="4" t="s">
        <v>221</v>
      </c>
      <c r="E9" s="4" t="s">
        <v>227</v>
      </c>
      <c r="F9" s="4" t="s">
        <v>51</v>
      </c>
      <c r="G9" s="7">
        <v>2030</v>
      </c>
      <c r="H9" s="4" t="s">
        <v>252</v>
      </c>
      <c r="I9" s="4" t="s">
        <v>250</v>
      </c>
      <c r="J9" s="4">
        <v>1</v>
      </c>
      <c r="K9" s="4" t="s">
        <v>231</v>
      </c>
      <c r="L9" s="4" t="s">
        <v>42</v>
      </c>
      <c r="M9" s="4">
        <v>200</v>
      </c>
      <c r="N9" s="4">
        <v>340</v>
      </c>
      <c r="O9" s="4" t="s">
        <v>47</v>
      </c>
      <c r="P9" s="4" t="s">
        <v>48</v>
      </c>
      <c r="Q9" s="4" t="s">
        <v>46</v>
      </c>
      <c r="R9" s="4" t="s">
        <v>241</v>
      </c>
      <c r="S9" s="4">
        <v>10.8</v>
      </c>
      <c r="T9" s="4">
        <f>BOM[[#This Row],[Longueur Tissage]]*BOM[[#This Row],[Duite Par Cm]]</f>
        <v>3672.0000000000005</v>
      </c>
      <c r="U9" s="8">
        <v>0.8</v>
      </c>
      <c r="V9" s="8">
        <v>0.2</v>
      </c>
      <c r="W9" s="8">
        <v>0.1</v>
      </c>
      <c r="X9" s="8">
        <v>0</v>
      </c>
      <c r="Y9" s="8">
        <v>0</v>
      </c>
      <c r="Z9" s="8">
        <v>0</v>
      </c>
      <c r="AA9" s="8">
        <v>0</v>
      </c>
      <c r="AB9" s="8">
        <v>0</v>
      </c>
    </row>
    <row r="10" spans="1:28" x14ac:dyDescent="0.25">
      <c r="A10" s="3" t="str">
        <f>CONCATENATE(BOM[[#This Row],[Code Modèle]],BOM[[#This Row],[Code Dimensions]],"(",BOM[[#This Row],[Code Type De Finition]],")","-",BOM[[#This Row],[Code Nombre de couleur]])</f>
        <v>AR2426(FR)-B</v>
      </c>
      <c r="B10" s="4" t="s">
        <v>40</v>
      </c>
      <c r="C10" s="4" t="s">
        <v>41</v>
      </c>
      <c r="D10" s="4" t="s">
        <v>221</v>
      </c>
      <c r="E10" s="4" t="s">
        <v>227</v>
      </c>
      <c r="F10" s="4" t="s">
        <v>52</v>
      </c>
      <c r="G10" s="7">
        <v>2426</v>
      </c>
      <c r="H10" s="4" t="s">
        <v>252</v>
      </c>
      <c r="I10" s="4" t="s">
        <v>250</v>
      </c>
      <c r="J10" s="4">
        <v>1</v>
      </c>
      <c r="K10" s="4" t="s">
        <v>231</v>
      </c>
      <c r="L10" s="4" t="s">
        <v>42</v>
      </c>
      <c r="M10" s="4">
        <v>240</v>
      </c>
      <c r="N10" s="4">
        <v>290</v>
      </c>
      <c r="O10" s="4" t="s">
        <v>44</v>
      </c>
      <c r="P10" s="4" t="s">
        <v>45</v>
      </c>
      <c r="Q10" s="4" t="s">
        <v>46</v>
      </c>
      <c r="R10" s="4" t="s">
        <v>241</v>
      </c>
      <c r="S10" s="4">
        <v>10.8</v>
      </c>
      <c r="T10" s="4">
        <f>BOM[[#This Row],[Longueur Tissage]]*BOM[[#This Row],[Duite Par Cm]]</f>
        <v>3132</v>
      </c>
      <c r="U10" s="8">
        <v>0.9</v>
      </c>
      <c r="V10" s="8">
        <v>0.4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</row>
    <row r="11" spans="1:28" x14ac:dyDescent="0.25">
      <c r="A11" s="3" t="str">
        <f>CONCATENATE(BOM[[#This Row],[Code Modèle]],BOM[[#This Row],[Code Dimensions]],"(",BOM[[#This Row],[Code Type De Finition]],")","-",BOM[[#This Row],[Code Nombre de couleur]])</f>
        <v>AR2426(FR)-T</v>
      </c>
      <c r="B11" s="4" t="s">
        <v>40</v>
      </c>
      <c r="C11" s="4" t="s">
        <v>41</v>
      </c>
      <c r="D11" s="4" t="s">
        <v>221</v>
      </c>
      <c r="E11" s="4" t="s">
        <v>227</v>
      </c>
      <c r="F11" s="4" t="s">
        <v>52</v>
      </c>
      <c r="G11" s="7">
        <v>2426</v>
      </c>
      <c r="H11" s="4" t="s">
        <v>252</v>
      </c>
      <c r="I11" s="4" t="s">
        <v>250</v>
      </c>
      <c r="J11" s="4">
        <v>1</v>
      </c>
      <c r="K11" s="4" t="s">
        <v>231</v>
      </c>
      <c r="L11" s="4" t="s">
        <v>42</v>
      </c>
      <c r="M11" s="4">
        <v>240</v>
      </c>
      <c r="N11" s="4">
        <v>290</v>
      </c>
      <c r="O11" s="4" t="s">
        <v>47</v>
      </c>
      <c r="P11" s="4" t="s">
        <v>48</v>
      </c>
      <c r="Q11" s="4" t="s">
        <v>46</v>
      </c>
      <c r="R11" s="4" t="s">
        <v>241</v>
      </c>
      <c r="S11" s="4">
        <v>10.8</v>
      </c>
      <c r="T11" s="4">
        <f>BOM[[#This Row],[Longueur Tissage]]*BOM[[#This Row],[Duite Par Cm]]</f>
        <v>3132</v>
      </c>
      <c r="U11" s="8">
        <v>0.9</v>
      </c>
      <c r="V11" s="8">
        <v>0.3</v>
      </c>
      <c r="W11" s="8">
        <v>0.1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</row>
    <row r="12" spans="1:28" x14ac:dyDescent="0.25">
      <c r="A12" s="3" t="str">
        <f>CONCATENATE(BOM[[#This Row],[Code Modèle]],BOM[[#This Row],[Code Dimensions]],"(",BOM[[#This Row],[Code Type De Finition]],")","-",BOM[[#This Row],[Code Nombre de couleur]])</f>
        <v>IB1020(FR)-B</v>
      </c>
      <c r="B12" s="4" t="s">
        <v>53</v>
      </c>
      <c r="C12" s="4" t="s">
        <v>54</v>
      </c>
      <c r="D12" s="4" t="s">
        <v>221</v>
      </c>
      <c r="E12" s="4" t="s">
        <v>227</v>
      </c>
      <c r="F12" s="4" t="s">
        <v>43</v>
      </c>
      <c r="G12" s="7">
        <v>1020</v>
      </c>
      <c r="H12" s="4" t="s">
        <v>251</v>
      </c>
      <c r="I12" s="4" t="s">
        <v>250</v>
      </c>
      <c r="J12" s="4">
        <v>1</v>
      </c>
      <c r="K12" s="4" t="s">
        <v>231</v>
      </c>
      <c r="L12" s="4" t="s">
        <v>42</v>
      </c>
      <c r="M12" s="4">
        <v>100</v>
      </c>
      <c r="N12" s="4">
        <v>240</v>
      </c>
      <c r="O12" s="4" t="s">
        <v>44</v>
      </c>
      <c r="P12" s="4" t="s">
        <v>45</v>
      </c>
      <c r="Q12" s="4" t="s">
        <v>46</v>
      </c>
      <c r="R12" s="4" t="s">
        <v>241</v>
      </c>
      <c r="S12" s="4">
        <v>10.8</v>
      </c>
      <c r="T12" s="4">
        <f>BOM[[#This Row],[Longueur Tissage]]*BOM[[#This Row],[Duite Par Cm]]</f>
        <v>2592</v>
      </c>
      <c r="U12" s="8">
        <v>0.3</v>
      </c>
      <c r="V12" s="8">
        <v>0.08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</row>
    <row r="13" spans="1:28" x14ac:dyDescent="0.25">
      <c r="A13" s="3" t="str">
        <f>CONCATENATE(BOM[[#This Row],[Code Modèle]],BOM[[#This Row],[Code Dimensions]],"(",BOM[[#This Row],[Code Type De Finition]],")","-",BOM[[#This Row],[Code Nombre de couleur]])</f>
        <v>IB1626(FR)-B</v>
      </c>
      <c r="B13" s="4" t="s">
        <v>53</v>
      </c>
      <c r="C13" s="4" t="s">
        <v>54</v>
      </c>
      <c r="D13" s="4" t="s">
        <v>221</v>
      </c>
      <c r="E13" s="4" t="s">
        <v>227</v>
      </c>
      <c r="F13" s="4" t="s">
        <v>49</v>
      </c>
      <c r="G13" s="7">
        <v>1626</v>
      </c>
      <c r="H13" s="4" t="s">
        <v>251</v>
      </c>
      <c r="I13" s="4" t="s">
        <v>250</v>
      </c>
      <c r="J13" s="4">
        <v>1</v>
      </c>
      <c r="K13" s="4" t="s">
        <v>231</v>
      </c>
      <c r="L13" s="4" t="s">
        <v>42</v>
      </c>
      <c r="M13" s="4">
        <v>160</v>
      </c>
      <c r="N13" s="4">
        <v>300</v>
      </c>
      <c r="O13" s="4" t="s">
        <v>44</v>
      </c>
      <c r="P13" s="4" t="s">
        <v>45</v>
      </c>
      <c r="Q13" s="4" t="s">
        <v>46</v>
      </c>
      <c r="R13" s="4" t="s">
        <v>241</v>
      </c>
      <c r="S13" s="4">
        <v>10.8</v>
      </c>
      <c r="T13" s="4">
        <f>BOM[[#This Row],[Longueur Tissage]]*BOM[[#This Row],[Duite Par Cm]]</f>
        <v>3240</v>
      </c>
      <c r="U13" s="8">
        <v>0.6</v>
      </c>
      <c r="V13" s="8">
        <v>0.15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</row>
    <row r="14" spans="1:28" x14ac:dyDescent="0.25">
      <c r="A14" s="3" t="str">
        <f>CONCATENATE(BOM[[#This Row],[Code Modèle]],BOM[[#This Row],[Code Dimensions]],"(",BOM[[#This Row],[Code Type De Finition]],")","-",BOM[[#This Row],[Code Nombre de couleur]])</f>
        <v>IB2020(FR)-B</v>
      </c>
      <c r="B14" s="4" t="s">
        <v>53</v>
      </c>
      <c r="C14" s="4" t="s">
        <v>54</v>
      </c>
      <c r="D14" s="4" t="s">
        <v>221</v>
      </c>
      <c r="E14" s="4" t="s">
        <v>227</v>
      </c>
      <c r="F14" s="4" t="s">
        <v>50</v>
      </c>
      <c r="G14" s="7">
        <v>2020</v>
      </c>
      <c r="H14" s="4" t="s">
        <v>251</v>
      </c>
      <c r="I14" s="4" t="s">
        <v>250</v>
      </c>
      <c r="J14" s="4">
        <v>1</v>
      </c>
      <c r="K14" s="4" t="s">
        <v>231</v>
      </c>
      <c r="L14" s="4" t="s">
        <v>42</v>
      </c>
      <c r="M14" s="4">
        <v>200</v>
      </c>
      <c r="N14" s="4">
        <v>240</v>
      </c>
      <c r="O14" s="4" t="s">
        <v>44</v>
      </c>
      <c r="P14" s="4" t="s">
        <v>45</v>
      </c>
      <c r="Q14" s="4" t="s">
        <v>46</v>
      </c>
      <c r="R14" s="4" t="s">
        <v>241</v>
      </c>
      <c r="S14" s="4">
        <v>10.8</v>
      </c>
      <c r="T14" s="4">
        <f>BOM[[#This Row],[Longueur Tissage]]*BOM[[#This Row],[Duite Par Cm]]</f>
        <v>2592</v>
      </c>
      <c r="U14" s="8">
        <v>0.6</v>
      </c>
      <c r="V14" s="8">
        <v>0.15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</row>
    <row r="15" spans="1:28" x14ac:dyDescent="0.25">
      <c r="A15" s="3" t="str">
        <f>CONCATENATE(BOM[[#This Row],[Code Modèle]],BOM[[#This Row],[Code Dimensions]],"(",BOM[[#This Row],[Code Type De Finition]],")","-",BOM[[#This Row],[Code Nombre de couleur]])</f>
        <v>IB2030(FR)-B</v>
      </c>
      <c r="B15" s="4" t="s">
        <v>53</v>
      </c>
      <c r="C15" s="4" t="s">
        <v>54</v>
      </c>
      <c r="D15" s="4" t="s">
        <v>221</v>
      </c>
      <c r="E15" s="4" t="s">
        <v>227</v>
      </c>
      <c r="F15" s="4" t="s">
        <v>51</v>
      </c>
      <c r="G15" s="7">
        <v>2030</v>
      </c>
      <c r="H15" s="4" t="s">
        <v>252</v>
      </c>
      <c r="I15" s="4" t="s">
        <v>250</v>
      </c>
      <c r="J15" s="4">
        <v>1</v>
      </c>
      <c r="K15" s="4" t="s">
        <v>231</v>
      </c>
      <c r="L15" s="4" t="s">
        <v>42</v>
      </c>
      <c r="M15" s="4">
        <v>200</v>
      </c>
      <c r="N15" s="4">
        <v>340</v>
      </c>
      <c r="O15" s="4" t="s">
        <v>44</v>
      </c>
      <c r="P15" s="4" t="s">
        <v>45</v>
      </c>
      <c r="Q15" s="4" t="s">
        <v>46</v>
      </c>
      <c r="R15" s="4" t="s">
        <v>241</v>
      </c>
      <c r="S15" s="4">
        <v>10.8</v>
      </c>
      <c r="T15" s="4">
        <f>BOM[[#This Row],[Longueur Tissage]]*BOM[[#This Row],[Duite Par Cm]]</f>
        <v>3672.0000000000005</v>
      </c>
      <c r="U15" s="8">
        <v>0.9</v>
      </c>
      <c r="V15" s="8">
        <v>0.3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</row>
    <row r="16" spans="1:28" x14ac:dyDescent="0.25">
      <c r="A16" s="3" t="str">
        <f>CONCATENATE(BOM[[#This Row],[Code Modèle]],BOM[[#This Row],[Code Dimensions]],"(",BOM[[#This Row],[Code Type De Finition]],")","-",BOM[[#This Row],[Code Nombre de couleur]])</f>
        <v>IB2426(FR)-B</v>
      </c>
      <c r="B16" s="4" t="s">
        <v>53</v>
      </c>
      <c r="C16" s="4" t="s">
        <v>54</v>
      </c>
      <c r="D16" s="4" t="s">
        <v>221</v>
      </c>
      <c r="E16" s="4" t="s">
        <v>227</v>
      </c>
      <c r="F16" s="4" t="s">
        <v>52</v>
      </c>
      <c r="G16" s="7">
        <v>2426</v>
      </c>
      <c r="H16" s="4" t="s">
        <v>252</v>
      </c>
      <c r="I16" s="4" t="s">
        <v>250</v>
      </c>
      <c r="J16" s="4">
        <v>1</v>
      </c>
      <c r="K16" s="4" t="s">
        <v>231</v>
      </c>
      <c r="L16" s="4" t="s">
        <v>42</v>
      </c>
      <c r="M16" s="4">
        <v>240</v>
      </c>
      <c r="N16" s="4">
        <v>290</v>
      </c>
      <c r="O16" s="4" t="s">
        <v>44</v>
      </c>
      <c r="P16" s="4" t="s">
        <v>45</v>
      </c>
      <c r="Q16" s="4" t="s">
        <v>46</v>
      </c>
      <c r="R16" s="4" t="s">
        <v>241</v>
      </c>
      <c r="S16" s="4">
        <v>10.8</v>
      </c>
      <c r="T16" s="4">
        <f>BOM[[#This Row],[Longueur Tissage]]*BOM[[#This Row],[Duite Par Cm]]</f>
        <v>3132</v>
      </c>
      <c r="U16" s="8">
        <v>0.9</v>
      </c>
      <c r="V16" s="8">
        <v>0.3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</row>
    <row r="17" spans="1:28" x14ac:dyDescent="0.25">
      <c r="A17" s="3" t="str">
        <f>CONCATENATE(BOM[[#This Row],[Code Modèle]],BOM[[#This Row],[Code Dimensions]],"(",BOM[[#This Row],[Code Type De Finition]],")","-",BOM[[#This Row],[Code Nombre de couleur]])</f>
        <v>EPIB0919(FR)-B</v>
      </c>
      <c r="B17" s="4" t="s">
        <v>53</v>
      </c>
      <c r="C17" s="4" t="s">
        <v>55</v>
      </c>
      <c r="D17" s="4" t="s">
        <v>229</v>
      </c>
      <c r="E17" s="4" t="s">
        <v>56</v>
      </c>
      <c r="F17" s="4" t="s">
        <v>57</v>
      </c>
      <c r="G17" s="7" t="s">
        <v>200</v>
      </c>
      <c r="H17" s="4" t="s">
        <v>253</v>
      </c>
      <c r="I17" s="4" t="s">
        <v>250</v>
      </c>
      <c r="J17" s="4">
        <v>1</v>
      </c>
      <c r="K17" s="4" t="s">
        <v>231</v>
      </c>
      <c r="L17" s="4" t="s">
        <v>42</v>
      </c>
      <c r="M17" s="4">
        <v>100</v>
      </c>
      <c r="N17" s="4">
        <v>210</v>
      </c>
      <c r="O17" s="4" t="s">
        <v>44</v>
      </c>
      <c r="P17" s="4" t="s">
        <v>45</v>
      </c>
      <c r="Q17" s="4" t="s">
        <v>46</v>
      </c>
      <c r="R17" s="4" t="s">
        <v>241</v>
      </c>
      <c r="S17" s="4">
        <v>14</v>
      </c>
      <c r="T17" s="4">
        <f>BOM[[#This Row],[Longueur Tissage]]*BOM[[#This Row],[Duite Par Cm]]</f>
        <v>2940</v>
      </c>
      <c r="U17" s="8">
        <v>0.3</v>
      </c>
      <c r="V17" s="8">
        <v>0.1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</row>
    <row r="18" spans="1:28" x14ac:dyDescent="0.25">
      <c r="A18" s="3" t="str">
        <f>CONCATENATE(BOM[[#This Row],[Code Modèle]],BOM[[#This Row],[Code Dimensions]],"(",BOM[[#This Row],[Code Type De Finition]],")","-",BOM[[#This Row],[Code Nombre de couleur]])</f>
        <v>EPIB0918(FR)-B</v>
      </c>
      <c r="B18" s="4" t="s">
        <v>53</v>
      </c>
      <c r="C18" s="4" t="s">
        <v>55</v>
      </c>
      <c r="D18" s="4" t="s">
        <v>229</v>
      </c>
      <c r="E18" s="4" t="s">
        <v>56</v>
      </c>
      <c r="F18" s="4" t="s">
        <v>58</v>
      </c>
      <c r="G18" s="7" t="s">
        <v>208</v>
      </c>
      <c r="H18" s="4" t="s">
        <v>253</v>
      </c>
      <c r="I18" s="4" t="s">
        <v>250</v>
      </c>
      <c r="J18" s="4">
        <v>1</v>
      </c>
      <c r="K18" s="4" t="s">
        <v>231</v>
      </c>
      <c r="L18" s="4" t="s">
        <v>42</v>
      </c>
      <c r="M18" s="4">
        <v>100</v>
      </c>
      <c r="N18" s="4">
        <v>210</v>
      </c>
      <c r="O18" s="4" t="s">
        <v>44</v>
      </c>
      <c r="P18" s="4" t="s">
        <v>45</v>
      </c>
      <c r="Q18" s="4" t="s">
        <v>46</v>
      </c>
      <c r="R18" s="4" t="s">
        <v>241</v>
      </c>
      <c r="S18" s="4">
        <v>14</v>
      </c>
      <c r="T18" s="4">
        <f>BOM[[#This Row],[Longueur Tissage]]*BOM[[#This Row],[Duite Par Cm]]</f>
        <v>2940</v>
      </c>
      <c r="U18" s="8">
        <v>0.25</v>
      </c>
      <c r="V18" s="8">
        <v>0.1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</row>
    <row r="19" spans="1:28" x14ac:dyDescent="0.25">
      <c r="A19" s="3" t="str">
        <f>CONCATENATE(BOM[[#This Row],[Code Modèle]],BOM[[#This Row],[Code Dimensions]],"(",BOM[[#This Row],[Code Type De Finition]],")","-",BOM[[#This Row],[Code Nombre de couleur]])</f>
        <v>MA1020(FR)-B</v>
      </c>
      <c r="B19" s="4" t="s">
        <v>59</v>
      </c>
      <c r="C19" s="4" t="s">
        <v>60</v>
      </c>
      <c r="D19" s="4" t="s">
        <v>221</v>
      </c>
      <c r="E19" s="4" t="s">
        <v>227</v>
      </c>
      <c r="F19" s="4" t="s">
        <v>43</v>
      </c>
      <c r="G19" s="7">
        <v>1020</v>
      </c>
      <c r="H19" s="4" t="s">
        <v>251</v>
      </c>
      <c r="I19" s="4" t="s">
        <v>250</v>
      </c>
      <c r="J19" s="4">
        <v>1</v>
      </c>
      <c r="K19" s="4" t="s">
        <v>231</v>
      </c>
      <c r="L19" s="4" t="s">
        <v>42</v>
      </c>
      <c r="M19" s="4">
        <v>100</v>
      </c>
      <c r="N19" s="4">
        <v>240</v>
      </c>
      <c r="O19" s="4" t="s">
        <v>44</v>
      </c>
      <c r="P19" s="4" t="s">
        <v>45</v>
      </c>
      <c r="Q19" s="4" t="s">
        <v>46</v>
      </c>
      <c r="R19" s="4" t="s">
        <v>241</v>
      </c>
      <c r="S19" s="4">
        <v>10.4</v>
      </c>
      <c r="T19" s="4">
        <f>BOM[[#This Row],[Longueur Tissage]]*BOM[[#This Row],[Duite Par Cm]]</f>
        <v>2496</v>
      </c>
      <c r="U19" s="8">
        <v>0.16</v>
      </c>
      <c r="V19" s="8">
        <v>0.16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</row>
    <row r="20" spans="1:28" x14ac:dyDescent="0.25">
      <c r="A20" s="3" t="str">
        <f>CONCATENATE(BOM[[#This Row],[Code Modèle]],BOM[[#This Row],[Code Dimensions]],"(",BOM[[#This Row],[Code Type De Finition]],")","-",BOM[[#This Row],[Code Nombre de couleur]])</f>
        <v>MA1626(FR)-B</v>
      </c>
      <c r="B20" s="4" t="s">
        <v>59</v>
      </c>
      <c r="C20" s="4" t="s">
        <v>60</v>
      </c>
      <c r="D20" s="4" t="s">
        <v>221</v>
      </c>
      <c r="E20" s="4" t="s">
        <v>227</v>
      </c>
      <c r="F20" s="4" t="s">
        <v>49</v>
      </c>
      <c r="G20" s="7">
        <v>1626</v>
      </c>
      <c r="H20" s="4" t="s">
        <v>252</v>
      </c>
      <c r="I20" s="4" t="s">
        <v>250</v>
      </c>
      <c r="J20" s="4">
        <v>1</v>
      </c>
      <c r="K20" s="4" t="s">
        <v>231</v>
      </c>
      <c r="L20" s="4" t="s">
        <v>42</v>
      </c>
      <c r="M20" s="4">
        <v>160</v>
      </c>
      <c r="N20" s="4">
        <v>300</v>
      </c>
      <c r="O20" s="4" t="s">
        <v>44</v>
      </c>
      <c r="P20" s="4" t="s">
        <v>45</v>
      </c>
      <c r="Q20" s="4" t="s">
        <v>46</v>
      </c>
      <c r="R20" s="4" t="s">
        <v>241</v>
      </c>
      <c r="S20" s="4">
        <v>10.4</v>
      </c>
      <c r="T20" s="4">
        <f>BOM[[#This Row],[Longueur Tissage]]*BOM[[#This Row],[Duite Par Cm]]</f>
        <v>3120</v>
      </c>
      <c r="U20" s="8">
        <v>0.32</v>
      </c>
      <c r="V20" s="8">
        <v>0.32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</row>
    <row r="21" spans="1:28" x14ac:dyDescent="0.25">
      <c r="A21" s="3" t="str">
        <f>CONCATENATE(BOM[[#This Row],[Code Modèle]],BOM[[#This Row],[Code Dimensions]],"(",BOM[[#This Row],[Code Type De Finition]],")","-",BOM[[#This Row],[Code Nombre de couleur]])</f>
        <v>MA2020(FR)-B</v>
      </c>
      <c r="B21" s="4" t="s">
        <v>59</v>
      </c>
      <c r="C21" s="4" t="s">
        <v>60</v>
      </c>
      <c r="D21" s="4" t="s">
        <v>221</v>
      </c>
      <c r="E21" s="4" t="s">
        <v>227</v>
      </c>
      <c r="F21" s="4" t="s">
        <v>50</v>
      </c>
      <c r="G21" s="7">
        <v>2020</v>
      </c>
      <c r="H21" s="4" t="s">
        <v>251</v>
      </c>
      <c r="I21" s="4" t="s">
        <v>250</v>
      </c>
      <c r="J21" s="4">
        <v>1</v>
      </c>
      <c r="K21" s="4" t="s">
        <v>231</v>
      </c>
      <c r="L21" s="4" t="s">
        <v>42</v>
      </c>
      <c r="M21" s="4">
        <v>200</v>
      </c>
      <c r="N21" s="4">
        <v>240</v>
      </c>
      <c r="O21" s="4" t="s">
        <v>44</v>
      </c>
      <c r="P21" s="4" t="s">
        <v>45</v>
      </c>
      <c r="Q21" s="4" t="s">
        <v>46</v>
      </c>
      <c r="R21" s="4" t="s">
        <v>241</v>
      </c>
      <c r="S21" s="4">
        <v>10.4</v>
      </c>
      <c r="T21" s="4">
        <f>BOM[[#This Row],[Longueur Tissage]]*BOM[[#This Row],[Duite Par Cm]]</f>
        <v>2496</v>
      </c>
      <c r="U21" s="8">
        <v>0.32</v>
      </c>
      <c r="V21" s="8">
        <v>0.32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</row>
    <row r="22" spans="1:28" x14ac:dyDescent="0.25">
      <c r="A22" s="3" t="str">
        <f>CONCATENATE(BOM[[#This Row],[Code Modèle]],BOM[[#This Row],[Code Dimensions]],"(",BOM[[#This Row],[Code Type De Finition]],")","-",BOM[[#This Row],[Code Nombre de couleur]])</f>
        <v>MA2030(FR)-B</v>
      </c>
      <c r="B22" s="4" t="s">
        <v>59</v>
      </c>
      <c r="C22" s="4" t="s">
        <v>60</v>
      </c>
      <c r="D22" s="4" t="s">
        <v>221</v>
      </c>
      <c r="E22" s="4" t="s">
        <v>227</v>
      </c>
      <c r="F22" s="4" t="s">
        <v>51</v>
      </c>
      <c r="G22" s="7">
        <v>2030</v>
      </c>
      <c r="H22" s="4" t="s">
        <v>252</v>
      </c>
      <c r="I22" s="4" t="s">
        <v>250</v>
      </c>
      <c r="J22" s="4">
        <v>1</v>
      </c>
      <c r="K22" s="4" t="s">
        <v>231</v>
      </c>
      <c r="L22" s="4" t="s">
        <v>42</v>
      </c>
      <c r="M22" s="4">
        <v>200</v>
      </c>
      <c r="N22" s="4">
        <v>340</v>
      </c>
      <c r="O22" s="4" t="s">
        <v>44</v>
      </c>
      <c r="P22" s="4" t="s">
        <v>45</v>
      </c>
      <c r="Q22" s="4" t="s">
        <v>46</v>
      </c>
      <c r="R22" s="4" t="s">
        <v>241</v>
      </c>
      <c r="S22" s="4">
        <v>10.4</v>
      </c>
      <c r="T22" s="4">
        <f>BOM[[#This Row],[Longueur Tissage]]*BOM[[#This Row],[Duite Par Cm]]</f>
        <v>3536</v>
      </c>
      <c r="U22" s="8">
        <v>0.6</v>
      </c>
      <c r="V22" s="8">
        <v>0.6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</row>
    <row r="23" spans="1:28" x14ac:dyDescent="0.25">
      <c r="A23" s="3" t="str">
        <f>CONCATENATE(BOM[[#This Row],[Code Modèle]],BOM[[#This Row],[Code Dimensions]],"(",BOM[[#This Row],[Code Type De Finition]],")","-",BOM[[#This Row],[Code Nombre de couleur]])</f>
        <v>MA2426(FR)-B</v>
      </c>
      <c r="B23" s="4" t="s">
        <v>59</v>
      </c>
      <c r="C23" s="4" t="s">
        <v>60</v>
      </c>
      <c r="D23" s="4" t="s">
        <v>221</v>
      </c>
      <c r="E23" s="4" t="s">
        <v>227</v>
      </c>
      <c r="F23" s="4" t="s">
        <v>52</v>
      </c>
      <c r="G23" s="7">
        <v>2426</v>
      </c>
      <c r="H23" s="4" t="s">
        <v>252</v>
      </c>
      <c r="I23" s="4" t="s">
        <v>250</v>
      </c>
      <c r="J23" s="4">
        <v>1</v>
      </c>
      <c r="K23" s="4" t="s">
        <v>231</v>
      </c>
      <c r="L23" s="4" t="s">
        <v>42</v>
      </c>
      <c r="M23" s="4">
        <v>240</v>
      </c>
      <c r="N23" s="4">
        <v>290</v>
      </c>
      <c r="O23" s="4" t="s">
        <v>44</v>
      </c>
      <c r="P23" s="4" t="s">
        <v>45</v>
      </c>
      <c r="Q23" s="4" t="s">
        <v>46</v>
      </c>
      <c r="R23" s="4" t="s">
        <v>241</v>
      </c>
      <c r="S23" s="4">
        <v>10.4</v>
      </c>
      <c r="T23" s="4">
        <f>BOM[[#This Row],[Longueur Tissage]]*BOM[[#This Row],[Duite Par Cm]]</f>
        <v>3016</v>
      </c>
      <c r="U23" s="8">
        <v>0.6</v>
      </c>
      <c r="V23" s="8">
        <v>0.6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</row>
    <row r="24" spans="1:28" x14ac:dyDescent="0.25">
      <c r="A24" s="3" t="str">
        <f>CONCATENATE(BOM[[#This Row],[Code Modèle]],BOM[[#This Row],[Code Dimensions]],"(",BOM[[#This Row],[Code Type De Finition]],")","-",BOM[[#This Row],[Code Nombre de couleur]])</f>
        <v>MA0714(FR)-B</v>
      </c>
      <c r="B24" s="4" t="s">
        <v>59</v>
      </c>
      <c r="C24" s="4" t="s">
        <v>60</v>
      </c>
      <c r="D24" s="4" t="s">
        <v>221</v>
      </c>
      <c r="E24" s="4" t="s">
        <v>227</v>
      </c>
      <c r="F24" s="4" t="s">
        <v>61</v>
      </c>
      <c r="G24" s="7" t="s">
        <v>211</v>
      </c>
      <c r="H24" s="4" t="s">
        <v>258</v>
      </c>
      <c r="I24" s="4" t="s">
        <v>250</v>
      </c>
      <c r="J24" s="4">
        <v>1</v>
      </c>
      <c r="K24" s="4" t="s">
        <v>231</v>
      </c>
      <c r="L24" s="4" t="s">
        <v>42</v>
      </c>
      <c r="M24" s="4">
        <v>70</v>
      </c>
      <c r="N24" s="4">
        <v>85</v>
      </c>
      <c r="O24" s="4" t="s">
        <v>44</v>
      </c>
      <c r="P24" s="4" t="s">
        <v>45</v>
      </c>
      <c r="Q24" s="4" t="s">
        <v>46</v>
      </c>
      <c r="R24" s="4" t="s">
        <v>241</v>
      </c>
      <c r="S24" s="4">
        <v>10.4</v>
      </c>
      <c r="T24" s="4">
        <f>BOM[[#This Row],[Longueur Tissage]]*BOM[[#This Row],[Duite Par Cm]]</f>
        <v>884</v>
      </c>
      <c r="U24" s="8">
        <v>0.2</v>
      </c>
      <c r="V24" s="8">
        <v>0.08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</row>
    <row r="25" spans="1:28" x14ac:dyDescent="0.25">
      <c r="A25" s="3" t="str">
        <f>CONCATENATE(BOM[[#This Row],[Code Modèle]],BOM[[#This Row],[Code Dimensions]],"(",BOM[[#This Row],[Code Type De Finition]],")","-",BOM[[#This Row],[Code Nombre de couleur]])</f>
        <v>EPMA0919(FR)-B</v>
      </c>
      <c r="B25" s="4" t="s">
        <v>59</v>
      </c>
      <c r="C25" s="4" t="s">
        <v>63</v>
      </c>
      <c r="D25" s="4" t="s">
        <v>229</v>
      </c>
      <c r="E25" s="4" t="s">
        <v>56</v>
      </c>
      <c r="F25" s="4" t="s">
        <v>57</v>
      </c>
      <c r="G25" s="7" t="s">
        <v>200</v>
      </c>
      <c r="H25" s="4" t="s">
        <v>253</v>
      </c>
      <c r="I25" s="4" t="s">
        <v>250</v>
      </c>
      <c r="J25" s="4">
        <v>1</v>
      </c>
      <c r="K25" s="4" t="s">
        <v>231</v>
      </c>
      <c r="L25" s="4" t="s">
        <v>42</v>
      </c>
      <c r="M25" s="4">
        <v>100</v>
      </c>
      <c r="N25" s="4">
        <v>210</v>
      </c>
      <c r="O25" s="4" t="s">
        <v>44</v>
      </c>
      <c r="P25" s="4" t="s">
        <v>45</v>
      </c>
      <c r="Q25" s="4" t="s">
        <v>46</v>
      </c>
      <c r="R25" s="4" t="s">
        <v>241</v>
      </c>
      <c r="S25" s="4">
        <v>14</v>
      </c>
      <c r="T25" s="4">
        <f>BOM[[#This Row],[Longueur Tissage]]*BOM[[#This Row],[Duite Par Cm]]</f>
        <v>2940</v>
      </c>
      <c r="U25" s="8">
        <v>0.2</v>
      </c>
      <c r="V25" s="8">
        <v>0.2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</row>
    <row r="26" spans="1:28" x14ac:dyDescent="0.25">
      <c r="A26" s="3" t="str">
        <f>CONCATENATE(BOM[[#This Row],[Code Modèle]],BOM[[#This Row],[Code Dimensions]],"(",BOM[[#This Row],[Code Type De Finition]],")","-",BOM[[#This Row],[Code Nombre de couleur]])</f>
        <v>EPMA0918(FR)-B</v>
      </c>
      <c r="B26" s="4" t="s">
        <v>59</v>
      </c>
      <c r="C26" s="4" t="s">
        <v>63</v>
      </c>
      <c r="D26" s="4" t="s">
        <v>229</v>
      </c>
      <c r="E26" s="4" t="s">
        <v>56</v>
      </c>
      <c r="F26" s="4" t="s">
        <v>58</v>
      </c>
      <c r="G26" s="7" t="s">
        <v>208</v>
      </c>
      <c r="H26" s="4" t="s">
        <v>253</v>
      </c>
      <c r="I26" s="4" t="s">
        <v>250</v>
      </c>
      <c r="J26" s="4">
        <v>1</v>
      </c>
      <c r="K26" s="4" t="s">
        <v>231</v>
      </c>
      <c r="L26" s="4" t="s">
        <v>42</v>
      </c>
      <c r="M26" s="4">
        <v>100</v>
      </c>
      <c r="N26" s="4">
        <v>210</v>
      </c>
      <c r="O26" s="4" t="s">
        <v>44</v>
      </c>
      <c r="P26" s="4" t="s">
        <v>45</v>
      </c>
      <c r="Q26" s="4" t="s">
        <v>46</v>
      </c>
      <c r="R26" s="4" t="s">
        <v>241</v>
      </c>
      <c r="S26" s="4">
        <v>14</v>
      </c>
      <c r="T26" s="4">
        <f>BOM[[#This Row],[Longueur Tissage]]*BOM[[#This Row],[Duite Par Cm]]</f>
        <v>2940</v>
      </c>
      <c r="U26" s="8">
        <v>0.2</v>
      </c>
      <c r="V26" s="8">
        <v>0.2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</row>
    <row r="27" spans="1:28" x14ac:dyDescent="0.25">
      <c r="A27" s="3" t="str">
        <f>CONCATENATE(BOM[[#This Row],[Code Modèle]],BOM[[#This Row],[Code Dimensions]],"(",BOM[[#This Row],[Code Type De Finition]],")","-",BOM[[#This Row],[Code Nombre de couleur]])</f>
        <v>KA1020(FR)-Q</v>
      </c>
      <c r="B27" s="4" t="s">
        <v>64</v>
      </c>
      <c r="C27" s="4" t="s">
        <v>65</v>
      </c>
      <c r="D27" s="4" t="s">
        <v>221</v>
      </c>
      <c r="E27" s="4" t="s">
        <v>227</v>
      </c>
      <c r="F27" s="4" t="s">
        <v>43</v>
      </c>
      <c r="G27" s="7">
        <v>1020</v>
      </c>
      <c r="H27" s="4" t="s">
        <v>251</v>
      </c>
      <c r="I27" s="4" t="s">
        <v>250</v>
      </c>
      <c r="J27" s="4">
        <v>1</v>
      </c>
      <c r="K27" s="4" t="s">
        <v>231</v>
      </c>
      <c r="L27" s="4" t="s">
        <v>42</v>
      </c>
      <c r="M27" s="4">
        <v>100</v>
      </c>
      <c r="N27" s="4">
        <v>240</v>
      </c>
      <c r="O27" s="4" t="s">
        <v>66</v>
      </c>
      <c r="P27" s="4" t="s">
        <v>67</v>
      </c>
      <c r="Q27" s="4" t="s">
        <v>46</v>
      </c>
      <c r="R27" s="4" t="s">
        <v>241</v>
      </c>
      <c r="S27" s="4">
        <v>10.8</v>
      </c>
      <c r="T27" s="4">
        <f>BOM[[#This Row],[Longueur Tissage]]*BOM[[#This Row],[Duite Par Cm]]</f>
        <v>2592</v>
      </c>
      <c r="U27" s="8">
        <v>0.22</v>
      </c>
      <c r="V27" s="8">
        <v>0.15</v>
      </c>
      <c r="W27" s="8">
        <v>7.0000000000000007E-2</v>
      </c>
      <c r="X27" s="8">
        <v>0.04</v>
      </c>
      <c r="Y27" s="8">
        <v>0</v>
      </c>
      <c r="Z27" s="8">
        <v>0</v>
      </c>
      <c r="AA27" s="8">
        <v>0</v>
      </c>
      <c r="AB27" s="8">
        <v>0</v>
      </c>
    </row>
    <row r="28" spans="1:28" x14ac:dyDescent="0.25">
      <c r="A28" s="3" t="str">
        <f>CONCATENATE(BOM[[#This Row],[Code Modèle]],BOM[[#This Row],[Code Dimensions]],"(",BOM[[#This Row],[Code Type De Finition]],")","-",BOM[[#This Row],[Code Nombre de couleur]])</f>
        <v>KA2020(FR)-Q</v>
      </c>
      <c r="B28" s="4" t="s">
        <v>64</v>
      </c>
      <c r="C28" s="4" t="s">
        <v>65</v>
      </c>
      <c r="D28" s="4" t="s">
        <v>221</v>
      </c>
      <c r="E28" s="4" t="s">
        <v>227</v>
      </c>
      <c r="F28" s="4" t="s">
        <v>50</v>
      </c>
      <c r="G28" s="7">
        <v>2020</v>
      </c>
      <c r="H28" s="4" t="s">
        <v>251</v>
      </c>
      <c r="I28" s="4" t="s">
        <v>250</v>
      </c>
      <c r="J28" s="4">
        <v>1</v>
      </c>
      <c r="K28" s="4" t="s">
        <v>231</v>
      </c>
      <c r="L28" s="4" t="s">
        <v>42</v>
      </c>
      <c r="M28" s="4">
        <v>200</v>
      </c>
      <c r="N28" s="4">
        <v>240</v>
      </c>
      <c r="O28" s="4" t="s">
        <v>66</v>
      </c>
      <c r="P28" s="4" t="s">
        <v>67</v>
      </c>
      <c r="Q28" s="4" t="s">
        <v>46</v>
      </c>
      <c r="R28" s="4" t="s">
        <v>241</v>
      </c>
      <c r="S28" s="4">
        <v>10.8</v>
      </c>
      <c r="T28" s="4">
        <f>BOM[[#This Row],[Longueur Tissage]]*BOM[[#This Row],[Duite Par Cm]]</f>
        <v>2592</v>
      </c>
      <c r="U28" s="8">
        <v>0.44</v>
      </c>
      <c r="V28" s="8">
        <v>0.3</v>
      </c>
      <c r="W28" s="8">
        <v>0.14000000000000001</v>
      </c>
      <c r="X28" s="8">
        <v>0.08</v>
      </c>
      <c r="Y28" s="8">
        <v>0</v>
      </c>
      <c r="Z28" s="8">
        <v>0</v>
      </c>
      <c r="AA28" s="8">
        <v>0</v>
      </c>
      <c r="AB28" s="8">
        <v>0</v>
      </c>
    </row>
    <row r="29" spans="1:28" x14ac:dyDescent="0.25">
      <c r="A29" s="3" t="str">
        <f>CONCATENATE(BOM[[#This Row],[Code Modèle]],BOM[[#This Row],[Code Dimensions]],"(",BOM[[#This Row],[Code Type De Finition]],")","-",BOM[[#This Row],[Code Nombre de couleur]])</f>
        <v>BIB1020(FR)-T</v>
      </c>
      <c r="B29" s="4" t="s">
        <v>68</v>
      </c>
      <c r="C29" s="4" t="s">
        <v>69</v>
      </c>
      <c r="D29" s="4" t="s">
        <v>221</v>
      </c>
      <c r="E29" s="4" t="s">
        <v>227</v>
      </c>
      <c r="F29" s="4" t="s">
        <v>43</v>
      </c>
      <c r="G29" s="7">
        <v>1020</v>
      </c>
      <c r="H29" s="4" t="s">
        <v>251</v>
      </c>
      <c r="I29" s="4" t="s">
        <v>250</v>
      </c>
      <c r="J29" s="4">
        <v>1</v>
      </c>
      <c r="K29" s="4" t="s">
        <v>231</v>
      </c>
      <c r="L29" s="4" t="s">
        <v>42</v>
      </c>
      <c r="M29" s="4">
        <v>100</v>
      </c>
      <c r="N29" s="4">
        <v>240</v>
      </c>
      <c r="O29" s="4" t="s">
        <v>47</v>
      </c>
      <c r="P29" s="4" t="s">
        <v>48</v>
      </c>
      <c r="Q29" s="4" t="s">
        <v>46</v>
      </c>
      <c r="R29" s="4" t="s">
        <v>241</v>
      </c>
      <c r="S29" s="4">
        <v>10.8</v>
      </c>
      <c r="T29" s="4">
        <f>BOM[[#This Row],[Longueur Tissage]]*BOM[[#This Row],[Duite Par Cm]]</f>
        <v>2592</v>
      </c>
      <c r="U29" s="8">
        <v>0.16</v>
      </c>
      <c r="V29" s="8">
        <v>0.1</v>
      </c>
      <c r="W29" s="8">
        <v>7.0000000000000007E-2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</row>
    <row r="30" spans="1:28" x14ac:dyDescent="0.25">
      <c r="A30" s="3" t="str">
        <f>CONCATENATE(BOM[[#This Row],[Code Modèle]],BOM[[#This Row],[Code Dimensions]],"(",BOM[[#This Row],[Code Type De Finition]],")","-",BOM[[#This Row],[Code Nombre de couleur]])</f>
        <v>BIB2020(FR)-T</v>
      </c>
      <c r="B30" s="4" t="s">
        <v>68</v>
      </c>
      <c r="C30" s="4" t="s">
        <v>69</v>
      </c>
      <c r="D30" s="4" t="s">
        <v>221</v>
      </c>
      <c r="E30" s="4" t="s">
        <v>227</v>
      </c>
      <c r="F30" s="4" t="s">
        <v>50</v>
      </c>
      <c r="G30" s="7">
        <v>2020</v>
      </c>
      <c r="H30" s="4" t="s">
        <v>251</v>
      </c>
      <c r="I30" s="4" t="s">
        <v>250</v>
      </c>
      <c r="J30" s="4">
        <v>1</v>
      </c>
      <c r="K30" s="4" t="s">
        <v>231</v>
      </c>
      <c r="L30" s="4" t="s">
        <v>42</v>
      </c>
      <c r="M30" s="4">
        <v>200</v>
      </c>
      <c r="N30" s="4">
        <v>240</v>
      </c>
      <c r="O30" s="4" t="s">
        <v>47</v>
      </c>
      <c r="P30" s="4" t="s">
        <v>48</v>
      </c>
      <c r="Q30" s="4" t="s">
        <v>46</v>
      </c>
      <c r="R30" s="4" t="s">
        <v>241</v>
      </c>
      <c r="S30" s="4">
        <v>10.8</v>
      </c>
      <c r="T30" s="4">
        <f>BOM[[#This Row],[Longueur Tissage]]*BOM[[#This Row],[Duite Par Cm]]</f>
        <v>2592</v>
      </c>
      <c r="U30" s="8">
        <v>0.32</v>
      </c>
      <c r="V30" s="8">
        <v>0.2</v>
      </c>
      <c r="W30" s="8">
        <v>0.12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</row>
    <row r="31" spans="1:28" x14ac:dyDescent="0.25">
      <c r="A31" s="3" t="str">
        <f>CONCATENATE(BOM[[#This Row],[Code Modèle]],BOM[[#This Row],[Code Dimensions]],"(",BOM[[#This Row],[Code Type De Finition]],")","-",BOM[[#This Row],[Code Nombre de couleur]])</f>
        <v>BA1020(FR)-C</v>
      </c>
      <c r="B31" s="4" t="s">
        <v>70</v>
      </c>
      <c r="C31" s="4" t="s">
        <v>71</v>
      </c>
      <c r="D31" s="4" t="s">
        <v>221</v>
      </c>
      <c r="E31" s="4" t="s">
        <v>227</v>
      </c>
      <c r="F31" s="4" t="s">
        <v>43</v>
      </c>
      <c r="G31" s="7">
        <v>1020</v>
      </c>
      <c r="H31" s="4" t="s">
        <v>251</v>
      </c>
      <c r="I31" s="4" t="s">
        <v>250</v>
      </c>
      <c r="J31" s="4">
        <v>1</v>
      </c>
      <c r="K31" s="4" t="s">
        <v>231</v>
      </c>
      <c r="L31" s="4" t="s">
        <v>42</v>
      </c>
      <c r="M31" s="4">
        <v>100</v>
      </c>
      <c r="N31" s="4">
        <v>240</v>
      </c>
      <c r="O31" s="4" t="s">
        <v>72</v>
      </c>
      <c r="P31" s="4" t="s">
        <v>73</v>
      </c>
      <c r="Q31" s="4" t="s">
        <v>46</v>
      </c>
      <c r="R31" s="4" t="s">
        <v>241</v>
      </c>
      <c r="S31" s="4">
        <v>10.8</v>
      </c>
      <c r="T31" s="4">
        <f>BOM[[#This Row],[Longueur Tissage]]*BOM[[#This Row],[Duite Par Cm]]</f>
        <v>2592</v>
      </c>
      <c r="U31" s="8">
        <v>0.21</v>
      </c>
      <c r="V31" s="8">
        <v>0.08</v>
      </c>
      <c r="W31" s="8">
        <v>0.08</v>
      </c>
      <c r="X31" s="8">
        <v>0.06</v>
      </c>
      <c r="Y31" s="8">
        <v>0.06</v>
      </c>
      <c r="Z31" s="8">
        <v>0</v>
      </c>
      <c r="AA31" s="8">
        <v>0</v>
      </c>
      <c r="AB31" s="8">
        <v>0</v>
      </c>
    </row>
    <row r="32" spans="1:28" x14ac:dyDescent="0.25">
      <c r="A32" s="3" t="str">
        <f>CONCATENATE(BOM[[#This Row],[Code Modèle]],BOM[[#This Row],[Code Dimensions]],"(",BOM[[#This Row],[Code Type De Finition]],")","-",BOM[[#This Row],[Code Nombre de couleur]])</f>
        <v>BA2020(FR)-C</v>
      </c>
      <c r="B32" s="4" t="s">
        <v>70</v>
      </c>
      <c r="C32" s="4" t="s">
        <v>71</v>
      </c>
      <c r="D32" s="4" t="s">
        <v>221</v>
      </c>
      <c r="E32" s="4" t="s">
        <v>227</v>
      </c>
      <c r="F32" s="4" t="s">
        <v>50</v>
      </c>
      <c r="G32" s="7">
        <v>2020</v>
      </c>
      <c r="H32" s="4" t="s">
        <v>251</v>
      </c>
      <c r="I32" s="4" t="s">
        <v>250</v>
      </c>
      <c r="J32" s="4">
        <v>1</v>
      </c>
      <c r="K32" s="4" t="s">
        <v>231</v>
      </c>
      <c r="L32" s="4" t="s">
        <v>42</v>
      </c>
      <c r="M32" s="4">
        <v>200</v>
      </c>
      <c r="N32" s="4">
        <v>240</v>
      </c>
      <c r="O32" s="4" t="s">
        <v>72</v>
      </c>
      <c r="P32" s="4" t="s">
        <v>73</v>
      </c>
      <c r="Q32" s="4" t="s">
        <v>46</v>
      </c>
      <c r="R32" s="4" t="s">
        <v>241</v>
      </c>
      <c r="S32" s="4">
        <v>10.8</v>
      </c>
      <c r="T32" s="4">
        <f>BOM[[#This Row],[Longueur Tissage]]*BOM[[#This Row],[Duite Par Cm]]</f>
        <v>2592</v>
      </c>
      <c r="U32" s="8">
        <v>0.41</v>
      </c>
      <c r="V32" s="8">
        <v>0.16</v>
      </c>
      <c r="W32" s="8">
        <v>0.16</v>
      </c>
      <c r="X32" s="8">
        <v>0.12</v>
      </c>
      <c r="Y32" s="8">
        <v>0.12</v>
      </c>
      <c r="Z32" s="8">
        <v>0</v>
      </c>
      <c r="AA32" s="8">
        <v>0</v>
      </c>
      <c r="AB32" s="8">
        <v>0</v>
      </c>
    </row>
    <row r="33" spans="1:28" x14ac:dyDescent="0.25">
      <c r="A33" s="3" t="str">
        <f>CONCATENATE(BOM[[#This Row],[Code Modèle]],BOM[[#This Row],[Code Dimensions]],"(",BOM[[#This Row],[Code Type De Finition]],")","-",BOM[[#This Row],[Code Nombre de couleur]])</f>
        <v>BE1020(FR)-Q</v>
      </c>
      <c r="B33" s="4" t="s">
        <v>74</v>
      </c>
      <c r="C33" s="4" t="s">
        <v>75</v>
      </c>
      <c r="D33" s="4" t="s">
        <v>221</v>
      </c>
      <c r="E33" s="4" t="s">
        <v>227</v>
      </c>
      <c r="F33" s="4" t="s">
        <v>43</v>
      </c>
      <c r="G33" s="7">
        <v>1020</v>
      </c>
      <c r="H33" s="4" t="s">
        <v>251</v>
      </c>
      <c r="I33" s="4" t="s">
        <v>250</v>
      </c>
      <c r="J33" s="4">
        <v>1</v>
      </c>
      <c r="K33" s="4" t="s">
        <v>231</v>
      </c>
      <c r="L33" s="4" t="s">
        <v>42</v>
      </c>
      <c r="M33" s="4">
        <v>100</v>
      </c>
      <c r="N33" s="4">
        <v>240</v>
      </c>
      <c r="O33" s="4" t="s">
        <v>66</v>
      </c>
      <c r="P33" s="4" t="s">
        <v>67</v>
      </c>
      <c r="Q33" s="4" t="s">
        <v>46</v>
      </c>
      <c r="R33" s="4" t="s">
        <v>241</v>
      </c>
      <c r="S33" s="4">
        <v>10.4</v>
      </c>
      <c r="T33" s="4">
        <f>BOM[[#This Row],[Longueur Tissage]]*BOM[[#This Row],[Duite Par Cm]]</f>
        <v>2496</v>
      </c>
      <c r="U33" s="8">
        <v>0.05</v>
      </c>
      <c r="V33" s="8">
        <v>0.14000000000000001</v>
      </c>
      <c r="W33" s="8">
        <v>0.14000000000000001</v>
      </c>
      <c r="X33" s="8">
        <v>0.05</v>
      </c>
      <c r="Y33" s="8">
        <v>0</v>
      </c>
      <c r="Z33" s="8">
        <v>0</v>
      </c>
      <c r="AA33" s="8">
        <v>0</v>
      </c>
      <c r="AB33" s="8">
        <v>0</v>
      </c>
    </row>
    <row r="34" spans="1:28" x14ac:dyDescent="0.25">
      <c r="A34" s="3" t="str">
        <f>CONCATENATE(BOM[[#This Row],[Code Modèle]],BOM[[#This Row],[Code Dimensions]],"(",BOM[[#This Row],[Code Type De Finition]],")","-",BOM[[#This Row],[Code Nombre de couleur]])</f>
        <v>BE2020(FR)-Q</v>
      </c>
      <c r="B34" s="4" t="s">
        <v>74</v>
      </c>
      <c r="C34" s="4" t="s">
        <v>75</v>
      </c>
      <c r="D34" s="4" t="s">
        <v>221</v>
      </c>
      <c r="E34" s="4" t="s">
        <v>227</v>
      </c>
      <c r="F34" s="4" t="s">
        <v>50</v>
      </c>
      <c r="G34" s="7">
        <v>2020</v>
      </c>
      <c r="H34" s="4" t="s">
        <v>251</v>
      </c>
      <c r="I34" s="4" t="s">
        <v>250</v>
      </c>
      <c r="J34" s="4">
        <v>1</v>
      </c>
      <c r="K34" s="4" t="s">
        <v>231</v>
      </c>
      <c r="L34" s="4" t="s">
        <v>42</v>
      </c>
      <c r="M34" s="4">
        <v>200</v>
      </c>
      <c r="N34" s="4">
        <v>240</v>
      </c>
      <c r="O34" s="4" t="s">
        <v>66</v>
      </c>
      <c r="P34" s="4" t="s">
        <v>67</v>
      </c>
      <c r="Q34" s="4" t="s">
        <v>46</v>
      </c>
      <c r="R34" s="4" t="s">
        <v>241</v>
      </c>
      <c r="S34" s="4">
        <v>10.4</v>
      </c>
      <c r="T34" s="4">
        <f>BOM[[#This Row],[Longueur Tissage]]*BOM[[#This Row],[Duite Par Cm]]</f>
        <v>2496</v>
      </c>
      <c r="U34" s="8">
        <v>0.1</v>
      </c>
      <c r="V34" s="8">
        <v>0.28000000000000003</v>
      </c>
      <c r="W34" s="8">
        <v>0.28000000000000003</v>
      </c>
      <c r="X34" s="8">
        <v>0.1</v>
      </c>
      <c r="Y34" s="8">
        <v>0</v>
      </c>
      <c r="Z34" s="8">
        <v>0</v>
      </c>
      <c r="AA34" s="8">
        <v>0</v>
      </c>
      <c r="AB34" s="8">
        <v>0</v>
      </c>
    </row>
    <row r="35" spans="1:28" x14ac:dyDescent="0.25">
      <c r="A35" s="3" t="str">
        <f>CONCATENATE(BOM[[#This Row],[Code Modèle]],BOM[[#This Row],[Code Dimensions]],"(",BOM[[#This Row],[Code Type De Finition]],")","-",BOM[[#This Row],[Code Nombre de couleur]])</f>
        <v>BE2030(FR)-Q</v>
      </c>
      <c r="B35" s="4" t="s">
        <v>74</v>
      </c>
      <c r="C35" s="4" t="s">
        <v>75</v>
      </c>
      <c r="D35" s="4" t="s">
        <v>221</v>
      </c>
      <c r="E35" s="4" t="s">
        <v>227</v>
      </c>
      <c r="F35" s="4" t="s">
        <v>51</v>
      </c>
      <c r="G35" s="7">
        <v>2030</v>
      </c>
      <c r="H35" s="4" t="s">
        <v>252</v>
      </c>
      <c r="I35" s="4" t="s">
        <v>250</v>
      </c>
      <c r="J35" s="4">
        <v>1</v>
      </c>
      <c r="K35" s="4" t="s">
        <v>231</v>
      </c>
      <c r="L35" s="4" t="s">
        <v>42</v>
      </c>
      <c r="M35" s="4">
        <v>200</v>
      </c>
      <c r="N35" s="4">
        <v>340</v>
      </c>
      <c r="O35" s="4" t="s">
        <v>66</v>
      </c>
      <c r="P35" s="4" t="s">
        <v>67</v>
      </c>
      <c r="Q35" s="4" t="s">
        <v>46</v>
      </c>
      <c r="R35" s="4" t="s">
        <v>241</v>
      </c>
      <c r="S35" s="4">
        <v>10.4</v>
      </c>
      <c r="T35" s="4">
        <f>BOM[[#This Row],[Longueur Tissage]]*BOM[[#This Row],[Duite Par Cm]]</f>
        <v>3536</v>
      </c>
      <c r="U35" s="8">
        <v>0.15</v>
      </c>
      <c r="V35" s="8">
        <v>0.4</v>
      </c>
      <c r="W35" s="8">
        <v>0.4</v>
      </c>
      <c r="X35" s="8">
        <v>0.2</v>
      </c>
      <c r="Y35" s="8">
        <v>0</v>
      </c>
      <c r="Z35" s="8">
        <v>0</v>
      </c>
      <c r="AA35" s="8">
        <v>0</v>
      </c>
      <c r="AB35" s="8">
        <v>0</v>
      </c>
    </row>
    <row r="36" spans="1:28" x14ac:dyDescent="0.25">
      <c r="A36" s="3" t="str">
        <f>CONCATENATE(BOM[[#This Row],[Code Modèle]],BOM[[#This Row],[Code Dimensions]],"(",BOM[[#This Row],[Code Type De Finition]],")","-",BOM[[#This Row],[Code Nombre de couleur]])</f>
        <v>BE1626(FR)-Q</v>
      </c>
      <c r="B36" s="4" t="s">
        <v>74</v>
      </c>
      <c r="C36" s="4" t="s">
        <v>75</v>
      </c>
      <c r="D36" s="4" t="s">
        <v>221</v>
      </c>
      <c r="E36" s="4" t="s">
        <v>227</v>
      </c>
      <c r="F36" s="4" t="s">
        <v>49</v>
      </c>
      <c r="G36" s="7">
        <v>1626</v>
      </c>
      <c r="H36" s="4" t="s">
        <v>252</v>
      </c>
      <c r="I36" s="4" t="s">
        <v>250</v>
      </c>
      <c r="J36" s="4">
        <v>1</v>
      </c>
      <c r="K36" s="4" t="s">
        <v>231</v>
      </c>
      <c r="L36" s="4" t="s">
        <v>42</v>
      </c>
      <c r="M36" s="4">
        <v>160</v>
      </c>
      <c r="N36" s="4">
        <v>200</v>
      </c>
      <c r="O36" s="4" t="s">
        <v>66</v>
      </c>
      <c r="P36" s="4" t="s">
        <v>67</v>
      </c>
      <c r="Q36" s="4" t="s">
        <v>46</v>
      </c>
      <c r="R36" s="4" t="s">
        <v>241</v>
      </c>
      <c r="S36" s="4">
        <v>10.4</v>
      </c>
      <c r="T36" s="4">
        <f>BOM[[#This Row],[Longueur Tissage]]*BOM[[#This Row],[Duite Par Cm]]</f>
        <v>2080</v>
      </c>
      <c r="U36" s="8">
        <v>0.1</v>
      </c>
      <c r="V36" s="8">
        <v>0.28000000000000003</v>
      </c>
      <c r="W36" s="8">
        <v>0.28000000000000003</v>
      </c>
      <c r="X36" s="8">
        <v>0.1</v>
      </c>
      <c r="Y36" s="8">
        <v>0</v>
      </c>
      <c r="Z36" s="8">
        <v>0</v>
      </c>
      <c r="AA36" s="8">
        <v>0</v>
      </c>
      <c r="AB36" s="8">
        <v>0</v>
      </c>
    </row>
    <row r="37" spans="1:28" x14ac:dyDescent="0.25">
      <c r="A37" s="3" t="str">
        <f>CONCATENATE(BOM[[#This Row],[Code Modèle]],BOM[[#This Row],[Code Dimensions]],"(",BOM[[#This Row],[Code Type De Finition]],")","-",BOM[[#This Row],[Code Nombre de couleur]])</f>
        <v>CH1824(FR)-U</v>
      </c>
      <c r="B37" s="4" t="s">
        <v>76</v>
      </c>
      <c r="C37" s="4" t="s">
        <v>77</v>
      </c>
      <c r="D37" s="4" t="s">
        <v>224</v>
      </c>
      <c r="E37" s="4" t="s">
        <v>228</v>
      </c>
      <c r="F37" s="4" t="s">
        <v>78</v>
      </c>
      <c r="G37" s="7" t="s">
        <v>199</v>
      </c>
      <c r="H37" s="4" t="s">
        <v>252</v>
      </c>
      <c r="I37" s="4" t="s">
        <v>250</v>
      </c>
      <c r="J37" s="4">
        <v>1</v>
      </c>
      <c r="K37" s="4" t="s">
        <v>231</v>
      </c>
      <c r="L37" s="4" t="s">
        <v>42</v>
      </c>
      <c r="M37" s="4">
        <v>180</v>
      </c>
      <c r="N37" s="4">
        <v>220</v>
      </c>
      <c r="O37" s="4" t="s">
        <v>79</v>
      </c>
      <c r="P37" s="4" t="s">
        <v>80</v>
      </c>
      <c r="Q37" s="4" t="s">
        <v>46</v>
      </c>
      <c r="R37" s="4" t="s">
        <v>241</v>
      </c>
      <c r="S37" s="4">
        <v>14</v>
      </c>
      <c r="T37" s="4">
        <f>BOM[[#This Row],[Longueur Tissage]]*BOM[[#This Row],[Duite Par Cm]]</f>
        <v>3080</v>
      </c>
      <c r="U37" s="8">
        <v>0.85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</row>
    <row r="38" spans="1:28" x14ac:dyDescent="0.25">
      <c r="A38" s="3" t="str">
        <f>CONCATENATE(BOM[[#This Row],[Code Modèle]],BOM[[#This Row],[Code Dimensions]],"(",BOM[[#This Row],[Code Type De Finition]],")","-",BOM[[#This Row],[Code Nombre de couleur]])</f>
        <v>CH1020(FR)-U</v>
      </c>
      <c r="B38" s="4" t="s">
        <v>76</v>
      </c>
      <c r="C38" s="4" t="s">
        <v>77</v>
      </c>
      <c r="D38" s="4" t="s">
        <v>224</v>
      </c>
      <c r="E38" s="4" t="s">
        <v>228</v>
      </c>
      <c r="F38" s="4" t="s">
        <v>43</v>
      </c>
      <c r="G38" s="7">
        <v>1020</v>
      </c>
      <c r="H38" s="4" t="s">
        <v>251</v>
      </c>
      <c r="I38" s="4" t="s">
        <v>250</v>
      </c>
      <c r="J38" s="4">
        <v>1</v>
      </c>
      <c r="K38" s="4" t="s">
        <v>231</v>
      </c>
      <c r="L38" s="4" t="s">
        <v>42</v>
      </c>
      <c r="M38" s="4">
        <v>100</v>
      </c>
      <c r="N38" s="4">
        <v>140</v>
      </c>
      <c r="O38" s="4" t="s">
        <v>79</v>
      </c>
      <c r="P38" s="4" t="s">
        <v>80</v>
      </c>
      <c r="Q38" s="4" t="s">
        <v>46</v>
      </c>
      <c r="R38" s="4" t="s">
        <v>241</v>
      </c>
      <c r="S38" s="4">
        <v>14</v>
      </c>
      <c r="T38" s="4">
        <f>BOM[[#This Row],[Longueur Tissage]]*BOM[[#This Row],[Duite Par Cm]]</f>
        <v>1960</v>
      </c>
      <c r="U38" s="8">
        <v>0.4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</row>
    <row r="39" spans="1:28" x14ac:dyDescent="0.25">
      <c r="A39" s="3" t="str">
        <f>CONCATENATE(BOM[[#This Row],[Code Modèle]],BOM[[#This Row],[Code Dimensions]],"(",BOM[[#This Row],[Code Type De Finition]],")","-",BOM[[#This Row],[Code Nombre de couleur]])</f>
        <v>CH2426(FR)-U</v>
      </c>
      <c r="B39" s="4" t="s">
        <v>76</v>
      </c>
      <c r="C39" s="4" t="s">
        <v>77</v>
      </c>
      <c r="D39" s="4" t="s">
        <v>224</v>
      </c>
      <c r="E39" s="4" t="s">
        <v>228</v>
      </c>
      <c r="F39" s="4" t="s">
        <v>52</v>
      </c>
      <c r="G39" s="7">
        <v>2426</v>
      </c>
      <c r="H39" s="4" t="s">
        <v>252</v>
      </c>
      <c r="I39" s="4" t="s">
        <v>250</v>
      </c>
      <c r="J39" s="4">
        <v>1</v>
      </c>
      <c r="K39" s="4" t="s">
        <v>231</v>
      </c>
      <c r="L39" s="4" t="s">
        <v>42</v>
      </c>
      <c r="M39" s="4">
        <v>240</v>
      </c>
      <c r="N39" s="4">
        <v>280</v>
      </c>
      <c r="O39" s="4" t="s">
        <v>79</v>
      </c>
      <c r="P39" s="4" t="s">
        <v>80</v>
      </c>
      <c r="Q39" s="4" t="s">
        <v>46</v>
      </c>
      <c r="R39" s="4" t="s">
        <v>241</v>
      </c>
      <c r="S39" s="4">
        <v>14</v>
      </c>
      <c r="T39" s="4">
        <f>BOM[[#This Row],[Longueur Tissage]]*BOM[[#This Row],[Duite Par Cm]]</f>
        <v>3920</v>
      </c>
      <c r="U39" s="8">
        <v>1.2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</row>
    <row r="40" spans="1:28" x14ac:dyDescent="0.25">
      <c r="A40" s="3" t="str">
        <f>CONCATENATE(BOM[[#This Row],[Code Modèle]],BOM[[#This Row],[Code Dimensions]],"(",BOM[[#This Row],[Code Type De Finition]],")","-",BOM[[#This Row],[Code Nombre de couleur]])</f>
        <v>ECH0720(FC)-U</v>
      </c>
      <c r="B40" s="4" t="s">
        <v>81</v>
      </c>
      <c r="C40" s="4" t="s">
        <v>82</v>
      </c>
      <c r="D40" s="4" t="s">
        <v>224</v>
      </c>
      <c r="E40" s="4" t="s">
        <v>228</v>
      </c>
      <c r="F40" s="4" t="s">
        <v>83</v>
      </c>
      <c r="G40" s="7" t="s">
        <v>210</v>
      </c>
      <c r="H40" s="4" t="s">
        <v>254</v>
      </c>
      <c r="I40" s="4" t="s">
        <v>250</v>
      </c>
      <c r="J40" s="4">
        <v>1</v>
      </c>
      <c r="K40" s="4" t="s">
        <v>232</v>
      </c>
      <c r="L40" s="4" t="s">
        <v>233</v>
      </c>
      <c r="M40" s="4">
        <v>70</v>
      </c>
      <c r="N40" s="4">
        <v>210</v>
      </c>
      <c r="O40" s="4" t="s">
        <v>79</v>
      </c>
      <c r="P40" s="4" t="s">
        <v>80</v>
      </c>
      <c r="Q40" s="4" t="s">
        <v>46</v>
      </c>
      <c r="R40" s="4" t="s">
        <v>241</v>
      </c>
      <c r="S40" s="4">
        <v>14</v>
      </c>
      <c r="T40" s="4">
        <f>BOM[[#This Row],[Longueur Tissage]]*BOM[[#This Row],[Duite Par Cm]]</f>
        <v>2940</v>
      </c>
      <c r="U40" s="8">
        <v>0.2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</row>
    <row r="41" spans="1:28" x14ac:dyDescent="0.25">
      <c r="A41" s="3" t="str">
        <f>CONCATENATE(BOM[[#This Row],[Code Modèle]],BOM[[#This Row],[Code Dimensions]],"(",BOM[[#This Row],[Code Type De Finition]],")","-",BOM[[#This Row],[Code Nombre de couleur]])</f>
        <v>CHB1824(FR)-B</v>
      </c>
      <c r="B41" s="4" t="s">
        <v>84</v>
      </c>
      <c r="C41" s="4" t="s">
        <v>85</v>
      </c>
      <c r="D41" s="4" t="s">
        <v>224</v>
      </c>
      <c r="E41" s="4" t="s">
        <v>228</v>
      </c>
      <c r="F41" s="4" t="s">
        <v>78</v>
      </c>
      <c r="G41" s="7" t="s">
        <v>199</v>
      </c>
      <c r="H41" s="4" t="s">
        <v>252</v>
      </c>
      <c r="I41" s="4" t="s">
        <v>250</v>
      </c>
      <c r="J41" s="4">
        <v>1</v>
      </c>
      <c r="K41" s="4" t="s">
        <v>231</v>
      </c>
      <c r="L41" s="4" t="s">
        <v>42</v>
      </c>
      <c r="M41" s="4">
        <v>180</v>
      </c>
      <c r="N41" s="4">
        <v>220</v>
      </c>
      <c r="O41" s="4" t="s">
        <v>44</v>
      </c>
      <c r="P41" s="4" t="s">
        <v>45</v>
      </c>
      <c r="Q41" s="4" t="s">
        <v>46</v>
      </c>
      <c r="R41" s="4" t="s">
        <v>241</v>
      </c>
      <c r="S41" s="4">
        <v>14</v>
      </c>
      <c r="T41" s="4">
        <f>BOM[[#This Row],[Longueur Tissage]]*BOM[[#This Row],[Duite Par Cm]]</f>
        <v>3080</v>
      </c>
      <c r="U41" s="8">
        <v>0.8</v>
      </c>
      <c r="V41" s="8">
        <v>0.06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</row>
    <row r="42" spans="1:28" x14ac:dyDescent="0.25">
      <c r="A42" s="3" t="str">
        <f>CONCATENATE(BOM[[#This Row],[Code Modèle]],BOM[[#This Row],[Code Dimensions]],"(",BOM[[#This Row],[Code Type De Finition]],")","-",BOM[[#This Row],[Code Nombre de couleur]])</f>
        <v>CHB1020(FR)-B</v>
      </c>
      <c r="B42" s="4" t="s">
        <v>84</v>
      </c>
      <c r="C42" s="4" t="s">
        <v>85</v>
      </c>
      <c r="D42" s="4" t="s">
        <v>224</v>
      </c>
      <c r="E42" s="4" t="s">
        <v>228</v>
      </c>
      <c r="F42" s="4" t="s">
        <v>43</v>
      </c>
      <c r="G42" s="7">
        <v>1020</v>
      </c>
      <c r="H42" s="4" t="s">
        <v>251</v>
      </c>
      <c r="I42" s="4" t="s">
        <v>250</v>
      </c>
      <c r="J42" s="4">
        <v>1</v>
      </c>
      <c r="K42" s="4" t="s">
        <v>231</v>
      </c>
      <c r="L42" s="4" t="s">
        <v>42</v>
      </c>
      <c r="M42" s="4">
        <v>100</v>
      </c>
      <c r="N42" s="4">
        <v>140</v>
      </c>
      <c r="O42" s="4" t="s">
        <v>44</v>
      </c>
      <c r="P42" s="4" t="s">
        <v>45</v>
      </c>
      <c r="Q42" s="4" t="s">
        <v>46</v>
      </c>
      <c r="R42" s="4" t="s">
        <v>241</v>
      </c>
      <c r="S42" s="4">
        <v>14</v>
      </c>
      <c r="T42" s="4">
        <f>BOM[[#This Row],[Longueur Tissage]]*BOM[[#This Row],[Duite Par Cm]]</f>
        <v>1960</v>
      </c>
      <c r="U42" s="8">
        <v>0.4</v>
      </c>
      <c r="V42" s="8">
        <v>0.05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</row>
    <row r="43" spans="1:28" x14ac:dyDescent="0.25">
      <c r="A43" s="3" t="str">
        <f>CONCATENATE(BOM[[#This Row],[Code Modèle]],BOM[[#This Row],[Code Dimensions]],"(",BOM[[#This Row],[Code Type De Finition]],")","-",BOM[[#This Row],[Code Nombre de couleur]])</f>
        <v>CHB2426(FR)-B</v>
      </c>
      <c r="B43" s="4" t="s">
        <v>84</v>
      </c>
      <c r="C43" s="4" t="s">
        <v>85</v>
      </c>
      <c r="D43" s="4" t="s">
        <v>224</v>
      </c>
      <c r="E43" s="4" t="s">
        <v>228</v>
      </c>
      <c r="F43" s="4" t="s">
        <v>52</v>
      </c>
      <c r="G43" s="7">
        <v>2426</v>
      </c>
      <c r="H43" s="4" t="s">
        <v>252</v>
      </c>
      <c r="I43" s="4" t="s">
        <v>250</v>
      </c>
      <c r="J43" s="4">
        <v>1</v>
      </c>
      <c r="K43" s="4" t="s">
        <v>231</v>
      </c>
      <c r="L43" s="4" t="s">
        <v>42</v>
      </c>
      <c r="M43" s="4">
        <v>240</v>
      </c>
      <c r="N43" s="4">
        <v>280</v>
      </c>
      <c r="O43" s="4" t="s">
        <v>44</v>
      </c>
      <c r="P43" s="4" t="s">
        <v>45</v>
      </c>
      <c r="Q43" s="4" t="s">
        <v>46</v>
      </c>
      <c r="R43" s="4" t="s">
        <v>241</v>
      </c>
      <c r="S43" s="4">
        <v>14</v>
      </c>
      <c r="T43" s="4">
        <f>BOM[[#This Row],[Longueur Tissage]]*BOM[[#This Row],[Duite Par Cm]]</f>
        <v>3920</v>
      </c>
      <c r="U43" s="8">
        <v>1.1000000000000001</v>
      </c>
      <c r="V43" s="8">
        <v>0.12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</row>
    <row r="44" spans="1:28" x14ac:dyDescent="0.25">
      <c r="A44" s="3" t="str">
        <f>CONCATENATE(BOM[[#This Row],[Code Modèle]],BOM[[#This Row],[Code Dimensions]],"(",BOM[[#This Row],[Code Type De Finition]],")","-",BOM[[#This Row],[Code Nombre de couleur]])</f>
        <v>ST1020(FR)-S</v>
      </c>
      <c r="B44" s="4" t="s">
        <v>86</v>
      </c>
      <c r="C44" s="4" t="s">
        <v>87</v>
      </c>
      <c r="D44" s="4" t="s">
        <v>221</v>
      </c>
      <c r="E44" s="4" t="s">
        <v>227</v>
      </c>
      <c r="F44" s="4" t="s">
        <v>43</v>
      </c>
      <c r="G44" s="7">
        <v>1020</v>
      </c>
      <c r="H44" s="4" t="s">
        <v>251</v>
      </c>
      <c r="I44" s="4" t="s">
        <v>250</v>
      </c>
      <c r="J44" s="4">
        <v>1</v>
      </c>
      <c r="K44" s="4" t="s">
        <v>231</v>
      </c>
      <c r="L44" s="4" t="s">
        <v>42</v>
      </c>
      <c r="M44" s="4">
        <v>100</v>
      </c>
      <c r="N44" s="4">
        <v>240</v>
      </c>
      <c r="O44" s="4" t="s">
        <v>88</v>
      </c>
      <c r="P44" s="4" t="s">
        <v>62</v>
      </c>
      <c r="Q44" s="4" t="s">
        <v>46</v>
      </c>
      <c r="R44" s="4" t="s">
        <v>241</v>
      </c>
      <c r="S44" s="4">
        <v>10.8</v>
      </c>
      <c r="T44" s="4">
        <f>BOM[[#This Row],[Longueur Tissage]]*BOM[[#This Row],[Duite Par Cm]]</f>
        <v>2592</v>
      </c>
      <c r="U44" s="8">
        <v>0.05</v>
      </c>
      <c r="V44" s="8">
        <v>0.05</v>
      </c>
      <c r="W44" s="8">
        <v>0.05</v>
      </c>
      <c r="X44" s="8">
        <v>0.05</v>
      </c>
      <c r="Y44" s="8">
        <v>0.05</v>
      </c>
      <c r="Z44" s="8">
        <v>0.05</v>
      </c>
      <c r="AA44" s="8">
        <v>0</v>
      </c>
      <c r="AB44" s="8">
        <v>0</v>
      </c>
    </row>
    <row r="45" spans="1:28" x14ac:dyDescent="0.25">
      <c r="A45" s="3" t="str">
        <f>CONCATENATE(BOM[[#This Row],[Code Modèle]],BOM[[#This Row],[Code Dimensions]],"(",BOM[[#This Row],[Code Type De Finition]],")","-",BOM[[#This Row],[Code Nombre de couleur]])</f>
        <v>ST2020(FR)-S</v>
      </c>
      <c r="B45" s="4" t="s">
        <v>86</v>
      </c>
      <c r="C45" s="4" t="s">
        <v>87</v>
      </c>
      <c r="D45" s="4" t="s">
        <v>221</v>
      </c>
      <c r="E45" s="4" t="s">
        <v>227</v>
      </c>
      <c r="F45" s="4" t="s">
        <v>50</v>
      </c>
      <c r="G45" s="7">
        <v>2020</v>
      </c>
      <c r="H45" s="4" t="s">
        <v>251</v>
      </c>
      <c r="I45" s="4" t="s">
        <v>250</v>
      </c>
      <c r="J45" s="4">
        <v>1</v>
      </c>
      <c r="K45" s="4" t="s">
        <v>231</v>
      </c>
      <c r="L45" s="4" t="s">
        <v>42</v>
      </c>
      <c r="M45" s="4">
        <v>200</v>
      </c>
      <c r="N45" s="4">
        <v>240</v>
      </c>
      <c r="O45" s="4" t="s">
        <v>88</v>
      </c>
      <c r="P45" s="4" t="s">
        <v>62</v>
      </c>
      <c r="Q45" s="4" t="s">
        <v>46</v>
      </c>
      <c r="R45" s="4" t="s">
        <v>241</v>
      </c>
      <c r="S45" s="4">
        <v>10.8</v>
      </c>
      <c r="T45" s="4">
        <f>BOM[[#This Row],[Longueur Tissage]]*BOM[[#This Row],[Duite Par Cm]]</f>
        <v>2592</v>
      </c>
      <c r="U45" s="8">
        <v>0.1</v>
      </c>
      <c r="V45" s="8">
        <v>0.1</v>
      </c>
      <c r="W45" s="8">
        <v>0.1</v>
      </c>
      <c r="X45" s="8">
        <v>0.1</v>
      </c>
      <c r="Y45" s="8">
        <v>0.1</v>
      </c>
      <c r="Z45" s="8">
        <v>0.1</v>
      </c>
      <c r="AA45" s="8">
        <v>0</v>
      </c>
      <c r="AB45" s="8">
        <v>0</v>
      </c>
    </row>
    <row r="46" spans="1:28" x14ac:dyDescent="0.25">
      <c r="A46" s="3" t="str">
        <f>CONCATENATE(BOM[[#This Row],[Code Modèle]],BOM[[#This Row],[Code Dimensions]],"(",BOM[[#This Row],[Code Type De Finition]],")","-",BOM[[#This Row],[Code Nombre de couleur]])</f>
        <v>EPST0919(FR)-S</v>
      </c>
      <c r="B46" s="4" t="s">
        <v>86</v>
      </c>
      <c r="C46" s="4" t="s">
        <v>89</v>
      </c>
      <c r="D46" s="4" t="s">
        <v>229</v>
      </c>
      <c r="E46" s="4" t="s">
        <v>56</v>
      </c>
      <c r="F46" s="4" t="s">
        <v>57</v>
      </c>
      <c r="G46" s="7" t="s">
        <v>200</v>
      </c>
      <c r="H46" s="4" t="s">
        <v>253</v>
      </c>
      <c r="I46" s="4" t="s">
        <v>250</v>
      </c>
      <c r="J46" s="4">
        <v>1</v>
      </c>
      <c r="K46" s="4" t="s">
        <v>231</v>
      </c>
      <c r="L46" s="4" t="s">
        <v>42</v>
      </c>
      <c r="M46" s="4">
        <v>100</v>
      </c>
      <c r="N46" s="4">
        <v>220</v>
      </c>
      <c r="O46" s="4" t="s">
        <v>88</v>
      </c>
      <c r="P46" s="4" t="s">
        <v>62</v>
      </c>
      <c r="Q46" s="4" t="s">
        <v>46</v>
      </c>
      <c r="R46" s="4" t="s">
        <v>241</v>
      </c>
      <c r="S46" s="4">
        <v>14</v>
      </c>
      <c r="T46" s="4">
        <f>BOM[[#This Row],[Longueur Tissage]]*BOM[[#This Row],[Duite Par Cm]]</f>
        <v>3080</v>
      </c>
      <c r="U46" s="8">
        <v>0.08</v>
      </c>
      <c r="V46" s="8">
        <v>0.08</v>
      </c>
      <c r="W46" s="8">
        <v>0.08</v>
      </c>
      <c r="X46" s="8">
        <v>0.08</v>
      </c>
      <c r="Y46" s="8">
        <v>0.08</v>
      </c>
      <c r="Z46" s="8">
        <v>0.08</v>
      </c>
      <c r="AA46" s="8">
        <v>0</v>
      </c>
      <c r="AB46" s="8">
        <v>0</v>
      </c>
    </row>
    <row r="47" spans="1:28" x14ac:dyDescent="0.25">
      <c r="A47" s="3" t="str">
        <f>CONCATENATE(BOM[[#This Row],[Code Modèle]],BOM[[#This Row],[Code Dimensions]],"(",BOM[[#This Row],[Code Type De Finition]],")","-",BOM[[#This Row],[Code Nombre de couleur]])</f>
        <v>EPST0918(FR)-S</v>
      </c>
      <c r="B47" s="4" t="s">
        <v>86</v>
      </c>
      <c r="C47" s="4" t="s">
        <v>89</v>
      </c>
      <c r="D47" s="4" t="s">
        <v>229</v>
      </c>
      <c r="E47" s="4" t="s">
        <v>56</v>
      </c>
      <c r="F47" s="4" t="s">
        <v>58</v>
      </c>
      <c r="G47" s="7" t="s">
        <v>208</v>
      </c>
      <c r="H47" s="4" t="s">
        <v>253</v>
      </c>
      <c r="I47" s="4" t="s">
        <v>250</v>
      </c>
      <c r="J47" s="4">
        <v>1</v>
      </c>
      <c r="K47" s="4" t="s">
        <v>231</v>
      </c>
      <c r="L47" s="4" t="s">
        <v>42</v>
      </c>
      <c r="M47" s="4">
        <v>100</v>
      </c>
      <c r="N47" s="4">
        <v>210</v>
      </c>
      <c r="O47" s="4" t="s">
        <v>88</v>
      </c>
      <c r="P47" s="4" t="s">
        <v>62</v>
      </c>
      <c r="Q47" s="4" t="s">
        <v>46</v>
      </c>
      <c r="R47" s="4" t="s">
        <v>241</v>
      </c>
      <c r="S47" s="4">
        <v>14</v>
      </c>
      <c r="T47" s="4">
        <f>BOM[[#This Row],[Longueur Tissage]]*BOM[[#This Row],[Duite Par Cm]]</f>
        <v>2940</v>
      </c>
      <c r="U47" s="8">
        <v>0.08</v>
      </c>
      <c r="V47" s="8">
        <v>0.08</v>
      </c>
      <c r="W47" s="8">
        <v>0.08</v>
      </c>
      <c r="X47" s="8">
        <v>0.08</v>
      </c>
      <c r="Y47" s="8">
        <v>0.08</v>
      </c>
      <c r="Z47" s="8">
        <v>0.08</v>
      </c>
      <c r="AA47" s="8">
        <v>0</v>
      </c>
      <c r="AB47" s="8">
        <v>0</v>
      </c>
    </row>
    <row r="48" spans="1:28" x14ac:dyDescent="0.25">
      <c r="A48" s="3" t="str">
        <f>CONCATENATE(BOM[[#This Row],[Code Modèle]],BOM[[#This Row],[Code Dimensions]],"(",BOM[[#This Row],[Code Type De Finition]],")","-",BOM[[#This Row],[Code Nombre de couleur]])</f>
        <v>LI1020(FR)-B</v>
      </c>
      <c r="B48" s="4" t="s">
        <v>90</v>
      </c>
      <c r="C48" s="4" t="s">
        <v>91</v>
      </c>
      <c r="D48" s="4" t="s">
        <v>221</v>
      </c>
      <c r="E48" s="4" t="s">
        <v>227</v>
      </c>
      <c r="F48" s="4" t="s">
        <v>43</v>
      </c>
      <c r="G48" s="7">
        <v>1020</v>
      </c>
      <c r="H48" s="4" t="s">
        <v>251</v>
      </c>
      <c r="I48" s="4" t="s">
        <v>250</v>
      </c>
      <c r="J48" s="4">
        <v>1</v>
      </c>
      <c r="K48" s="4" t="s">
        <v>231</v>
      </c>
      <c r="L48" s="4" t="s">
        <v>42</v>
      </c>
      <c r="M48" s="4">
        <v>100</v>
      </c>
      <c r="N48" s="4">
        <v>240</v>
      </c>
      <c r="O48" s="4" t="s">
        <v>44</v>
      </c>
      <c r="P48" s="4" t="s">
        <v>45</v>
      </c>
      <c r="Q48" s="4" t="s">
        <v>46</v>
      </c>
      <c r="R48" s="4" t="s">
        <v>241</v>
      </c>
      <c r="S48" s="4">
        <v>10.4</v>
      </c>
      <c r="T48" s="4">
        <f>BOM[[#This Row],[Longueur Tissage]]*BOM[[#This Row],[Duite Par Cm]]</f>
        <v>2496</v>
      </c>
      <c r="U48" s="8">
        <v>0.28000000000000003</v>
      </c>
      <c r="V48" s="8">
        <v>0.06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</row>
    <row r="49" spans="1:28" x14ac:dyDescent="0.25">
      <c r="A49" s="3" t="str">
        <f>CONCATENATE(BOM[[#This Row],[Code Modèle]],BOM[[#This Row],[Code Dimensions]],"(",BOM[[#This Row],[Code Type De Finition]],")","-",BOM[[#This Row],[Code Nombre de couleur]])</f>
        <v>LI2020(FR)-B</v>
      </c>
      <c r="B49" s="4" t="s">
        <v>90</v>
      </c>
      <c r="C49" s="4" t="s">
        <v>91</v>
      </c>
      <c r="D49" s="4" t="s">
        <v>221</v>
      </c>
      <c r="E49" s="4" t="s">
        <v>227</v>
      </c>
      <c r="F49" s="4" t="s">
        <v>50</v>
      </c>
      <c r="G49" s="7">
        <v>2020</v>
      </c>
      <c r="H49" s="4" t="s">
        <v>251</v>
      </c>
      <c r="I49" s="4" t="s">
        <v>250</v>
      </c>
      <c r="J49" s="4">
        <v>1</v>
      </c>
      <c r="K49" s="4" t="s">
        <v>231</v>
      </c>
      <c r="L49" s="4" t="s">
        <v>42</v>
      </c>
      <c r="M49" s="4">
        <v>200</v>
      </c>
      <c r="N49" s="4">
        <v>240</v>
      </c>
      <c r="O49" s="4" t="s">
        <v>44</v>
      </c>
      <c r="P49" s="4" t="s">
        <v>45</v>
      </c>
      <c r="Q49" s="4" t="s">
        <v>46</v>
      </c>
      <c r="R49" s="4" t="s">
        <v>241</v>
      </c>
      <c r="S49" s="4">
        <v>10.4</v>
      </c>
      <c r="T49" s="4">
        <f>BOM[[#This Row],[Longueur Tissage]]*BOM[[#This Row],[Duite Par Cm]]</f>
        <v>2496</v>
      </c>
      <c r="U49" s="8">
        <v>0.6</v>
      </c>
      <c r="V49" s="8">
        <v>0.15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</row>
    <row r="50" spans="1:28" x14ac:dyDescent="0.25">
      <c r="A50" s="3" t="str">
        <f>CONCATENATE(BOM[[#This Row],[Code Modèle]],BOM[[#This Row],[Code Dimensions]],"(",BOM[[#This Row],[Code Type De Finition]],")","-",BOM[[#This Row],[Code Nombre de couleur]])</f>
        <v>LIL1020(FR)-B</v>
      </c>
      <c r="B50" s="4" t="s">
        <v>92</v>
      </c>
      <c r="C50" s="4" t="s">
        <v>93</v>
      </c>
      <c r="D50" s="4" t="s">
        <v>221</v>
      </c>
      <c r="E50" s="4" t="s">
        <v>227</v>
      </c>
      <c r="F50" s="4" t="s">
        <v>43</v>
      </c>
      <c r="G50" s="7">
        <v>1020</v>
      </c>
      <c r="H50" s="4" t="s">
        <v>251</v>
      </c>
      <c r="I50" s="4" t="s">
        <v>250</v>
      </c>
      <c r="J50" s="4">
        <v>1</v>
      </c>
      <c r="K50" s="4" t="s">
        <v>231</v>
      </c>
      <c r="L50" s="4" t="s">
        <v>42</v>
      </c>
      <c r="M50" s="4">
        <v>100</v>
      </c>
      <c r="N50" s="4">
        <v>240</v>
      </c>
      <c r="O50" s="4" t="s">
        <v>44</v>
      </c>
      <c r="P50" s="4" t="s">
        <v>45</v>
      </c>
      <c r="Q50" s="4" t="s">
        <v>46</v>
      </c>
      <c r="R50" s="4" t="s">
        <v>241</v>
      </c>
      <c r="S50" s="4">
        <v>10.4</v>
      </c>
      <c r="T50" s="4">
        <f>BOM[[#This Row],[Longueur Tissage]]*BOM[[#This Row],[Duite Par Cm]]</f>
        <v>2496</v>
      </c>
      <c r="U50" s="8">
        <v>0.6</v>
      </c>
      <c r="V50" s="8">
        <v>0.1</v>
      </c>
      <c r="W50" s="8">
        <v>0.02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</row>
    <row r="51" spans="1:28" x14ac:dyDescent="0.25">
      <c r="A51" s="3" t="str">
        <f>CONCATENATE(BOM[[#This Row],[Code Modèle]],BOM[[#This Row],[Code Dimensions]],"(",BOM[[#This Row],[Code Type De Finition]],")","-",BOM[[#This Row],[Code Nombre de couleur]])</f>
        <v>LIL2020(FR)-B</v>
      </c>
      <c r="B51" s="4" t="s">
        <v>92</v>
      </c>
      <c r="C51" s="4" t="s">
        <v>93</v>
      </c>
      <c r="D51" s="4" t="s">
        <v>221</v>
      </c>
      <c r="E51" s="4" t="s">
        <v>227</v>
      </c>
      <c r="F51" s="4" t="s">
        <v>50</v>
      </c>
      <c r="G51" s="7">
        <v>2020</v>
      </c>
      <c r="H51" s="4" t="s">
        <v>251</v>
      </c>
      <c r="I51" s="4" t="s">
        <v>250</v>
      </c>
      <c r="J51" s="4">
        <v>1</v>
      </c>
      <c r="K51" s="4" t="s">
        <v>231</v>
      </c>
      <c r="L51" s="4" t="s">
        <v>42</v>
      </c>
      <c r="M51" s="4">
        <v>200</v>
      </c>
      <c r="N51" s="4">
        <v>240</v>
      </c>
      <c r="O51" s="4" t="s">
        <v>44</v>
      </c>
      <c r="P51" s="4" t="s">
        <v>45</v>
      </c>
      <c r="Q51" s="4" t="s">
        <v>46</v>
      </c>
      <c r="R51" s="4" t="s">
        <v>241</v>
      </c>
      <c r="S51" s="4">
        <v>10.4</v>
      </c>
      <c r="T51" s="4">
        <f>BOM[[#This Row],[Longueur Tissage]]*BOM[[#This Row],[Duite Par Cm]]</f>
        <v>2496</v>
      </c>
      <c r="U51" s="8">
        <v>0.6</v>
      </c>
      <c r="V51" s="8">
        <v>0.1</v>
      </c>
      <c r="W51" s="8">
        <v>0.02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</row>
    <row r="52" spans="1:28" x14ac:dyDescent="0.25">
      <c r="A52" s="3" t="str">
        <f>CONCATENATE(BOM[[#This Row],[Code Modèle]],BOM[[#This Row],[Code Dimensions]],"(",BOM[[#This Row],[Code Type De Finition]],")","-",BOM[[#This Row],[Code Nombre de couleur]])</f>
        <v>TAH1020(FR)-B</v>
      </c>
      <c r="B52" s="4" t="s">
        <v>94</v>
      </c>
      <c r="C52" s="4" t="s">
        <v>95</v>
      </c>
      <c r="D52" s="4" t="s">
        <v>221</v>
      </c>
      <c r="E52" s="4" t="s">
        <v>227</v>
      </c>
      <c r="F52" s="4" t="s">
        <v>43</v>
      </c>
      <c r="G52" s="7">
        <v>1020</v>
      </c>
      <c r="H52" s="4" t="s">
        <v>251</v>
      </c>
      <c r="I52" s="4" t="s">
        <v>250</v>
      </c>
      <c r="J52" s="4">
        <v>1</v>
      </c>
      <c r="K52" s="4" t="s">
        <v>231</v>
      </c>
      <c r="L52" s="4" t="s">
        <v>42</v>
      </c>
      <c r="M52" s="4">
        <v>100</v>
      </c>
      <c r="N52" s="4">
        <v>240</v>
      </c>
      <c r="O52" s="4" t="s">
        <v>44</v>
      </c>
      <c r="P52" s="4" t="s">
        <v>45</v>
      </c>
      <c r="Q52" s="4" t="s">
        <v>46</v>
      </c>
      <c r="R52" s="4" t="s">
        <v>241</v>
      </c>
      <c r="S52" s="4">
        <v>10.4</v>
      </c>
      <c r="T52" s="4">
        <f>BOM[[#This Row],[Longueur Tissage]]*BOM[[#This Row],[Duite Par Cm]]</f>
        <v>2496</v>
      </c>
      <c r="U52" s="8">
        <v>0.13</v>
      </c>
      <c r="V52" s="8">
        <v>0.28000000000000003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</row>
    <row r="53" spans="1:28" x14ac:dyDescent="0.25">
      <c r="A53" s="3" t="str">
        <f>CONCATENATE(BOM[[#This Row],[Code Modèle]],BOM[[#This Row],[Code Dimensions]],"(",BOM[[#This Row],[Code Type De Finition]],")","-",BOM[[#This Row],[Code Nombre de couleur]])</f>
        <v>TAH2020(FR)-B</v>
      </c>
      <c r="B53" s="4" t="s">
        <v>94</v>
      </c>
      <c r="C53" s="4" t="s">
        <v>95</v>
      </c>
      <c r="D53" s="4" t="s">
        <v>221</v>
      </c>
      <c r="E53" s="4" t="s">
        <v>227</v>
      </c>
      <c r="F53" s="4" t="s">
        <v>50</v>
      </c>
      <c r="G53" s="7">
        <v>2020</v>
      </c>
      <c r="H53" s="4" t="s">
        <v>251</v>
      </c>
      <c r="I53" s="4" t="s">
        <v>250</v>
      </c>
      <c r="J53" s="4">
        <v>1</v>
      </c>
      <c r="K53" s="4" t="s">
        <v>231</v>
      </c>
      <c r="L53" s="4" t="s">
        <v>42</v>
      </c>
      <c r="M53" s="4">
        <v>200</v>
      </c>
      <c r="N53" s="4">
        <v>240</v>
      </c>
      <c r="O53" s="4" t="s">
        <v>44</v>
      </c>
      <c r="P53" s="4" t="s">
        <v>45</v>
      </c>
      <c r="Q53" s="4" t="s">
        <v>46</v>
      </c>
      <c r="R53" s="4" t="s">
        <v>241</v>
      </c>
      <c r="S53" s="4">
        <v>10.4</v>
      </c>
      <c r="T53" s="4">
        <f>BOM[[#This Row],[Longueur Tissage]]*BOM[[#This Row],[Duite Par Cm]]</f>
        <v>2496</v>
      </c>
      <c r="U53" s="8">
        <v>0.22</v>
      </c>
      <c r="V53" s="8">
        <v>0.5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</row>
    <row r="54" spans="1:28" x14ac:dyDescent="0.25">
      <c r="A54" s="3" t="str">
        <f>CONCATENATE(BOM[[#This Row],[Code Modèle]],BOM[[#This Row],[Code Dimensions]],"(",BOM[[#This Row],[Code Type De Finition]],")","-",BOM[[#This Row],[Code Nombre de couleur]])</f>
        <v>BAL1020(FR)-B</v>
      </c>
      <c r="B54" s="4" t="s">
        <v>96</v>
      </c>
      <c r="C54" s="4" t="s">
        <v>97</v>
      </c>
      <c r="D54" s="4" t="s">
        <v>221</v>
      </c>
      <c r="E54" s="4" t="s">
        <v>227</v>
      </c>
      <c r="F54" s="4" t="s">
        <v>43</v>
      </c>
      <c r="G54" s="7">
        <v>1020</v>
      </c>
      <c r="H54" s="4" t="s">
        <v>251</v>
      </c>
      <c r="I54" s="4" t="s">
        <v>250</v>
      </c>
      <c r="J54" s="4">
        <v>1</v>
      </c>
      <c r="K54" s="4" t="s">
        <v>231</v>
      </c>
      <c r="L54" s="4" t="s">
        <v>42</v>
      </c>
      <c r="M54" s="4">
        <v>100</v>
      </c>
      <c r="N54" s="4">
        <v>240</v>
      </c>
      <c r="O54" s="4" t="s">
        <v>44</v>
      </c>
      <c r="P54" s="4" t="s">
        <v>45</v>
      </c>
      <c r="Q54" s="4" t="s">
        <v>46</v>
      </c>
      <c r="R54" s="4" t="s">
        <v>241</v>
      </c>
      <c r="S54" s="4">
        <v>10.4</v>
      </c>
      <c r="T54" s="4">
        <f>BOM[[#This Row],[Longueur Tissage]]*BOM[[#This Row],[Duite Par Cm]]</f>
        <v>2496</v>
      </c>
      <c r="U54" s="8">
        <v>0.28000000000000003</v>
      </c>
      <c r="V54" s="8">
        <v>0.1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</row>
    <row r="55" spans="1:28" x14ac:dyDescent="0.25">
      <c r="A55" s="3" t="str">
        <f>CONCATENATE(BOM[[#This Row],[Code Modèle]],BOM[[#This Row],[Code Dimensions]],"(",BOM[[#This Row],[Code Type De Finition]],")","-",BOM[[#This Row],[Code Nombre de couleur]])</f>
        <v>BAL2020(FR)-B</v>
      </c>
      <c r="B55" s="4" t="s">
        <v>96</v>
      </c>
      <c r="C55" s="4" t="s">
        <v>97</v>
      </c>
      <c r="D55" s="4" t="s">
        <v>221</v>
      </c>
      <c r="E55" s="4" t="s">
        <v>227</v>
      </c>
      <c r="F55" s="4" t="s">
        <v>50</v>
      </c>
      <c r="G55" s="7">
        <v>2020</v>
      </c>
      <c r="H55" s="4" t="s">
        <v>251</v>
      </c>
      <c r="I55" s="4" t="s">
        <v>250</v>
      </c>
      <c r="J55" s="4">
        <v>1</v>
      </c>
      <c r="K55" s="4" t="s">
        <v>231</v>
      </c>
      <c r="L55" s="4" t="s">
        <v>42</v>
      </c>
      <c r="M55" s="4">
        <v>200</v>
      </c>
      <c r="N55" s="4">
        <v>240</v>
      </c>
      <c r="O55" s="4" t="s">
        <v>44</v>
      </c>
      <c r="P55" s="4" t="s">
        <v>45</v>
      </c>
      <c r="Q55" s="4" t="s">
        <v>46</v>
      </c>
      <c r="R55" s="4" t="s">
        <v>241</v>
      </c>
      <c r="S55" s="4">
        <v>10.4</v>
      </c>
      <c r="T55" s="4">
        <f>BOM[[#This Row],[Longueur Tissage]]*BOM[[#This Row],[Duite Par Cm]]</f>
        <v>2496</v>
      </c>
      <c r="U55" s="8">
        <v>0.55000000000000004</v>
      </c>
      <c r="V55" s="8">
        <v>0.19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</row>
    <row r="56" spans="1:28" x14ac:dyDescent="0.25">
      <c r="A56" s="3" t="str">
        <f>CONCATENATE(BOM[[#This Row],[Code Modèle]],BOM[[#This Row],[Code Dimensions]],"(",BOM[[#This Row],[Code Type De Finition]],")","-",BOM[[#This Row],[Code Nombre de couleur]])</f>
        <v>U1020(FR)-U</v>
      </c>
      <c r="B56" s="4" t="s">
        <v>98</v>
      </c>
      <c r="C56" s="4" t="s">
        <v>80</v>
      </c>
      <c r="D56" s="4" t="s">
        <v>221</v>
      </c>
      <c r="E56" s="4" t="s">
        <v>227</v>
      </c>
      <c r="F56" s="4" t="s">
        <v>43</v>
      </c>
      <c r="G56" s="7">
        <v>1020</v>
      </c>
      <c r="H56" s="4" t="s">
        <v>251</v>
      </c>
      <c r="I56" s="4" t="s">
        <v>250</v>
      </c>
      <c r="J56" s="4">
        <v>1</v>
      </c>
      <c r="K56" s="4" t="s">
        <v>231</v>
      </c>
      <c r="L56" s="4" t="s">
        <v>42</v>
      </c>
      <c r="M56" s="4">
        <v>100</v>
      </c>
      <c r="N56" s="4">
        <v>240</v>
      </c>
      <c r="O56" s="4" t="s">
        <v>79</v>
      </c>
      <c r="P56" s="4" t="s">
        <v>80</v>
      </c>
      <c r="Q56" s="4" t="s">
        <v>46</v>
      </c>
      <c r="R56" s="4" t="s">
        <v>241</v>
      </c>
      <c r="S56" s="4">
        <v>10.4</v>
      </c>
      <c r="T56" s="4">
        <f>BOM[[#This Row],[Longueur Tissage]]*BOM[[#This Row],[Duite Par Cm]]</f>
        <v>2496</v>
      </c>
      <c r="U56" s="8">
        <v>0.32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</row>
    <row r="57" spans="1:28" x14ac:dyDescent="0.25">
      <c r="A57" s="3" t="str">
        <f>CONCATENATE(BOM[[#This Row],[Code Modèle]],BOM[[#This Row],[Code Dimensions]],"(",BOM[[#This Row],[Code Type De Finition]],")","-",BOM[[#This Row],[Code Nombre de couleur]])</f>
        <v>U2020(FR)-U</v>
      </c>
      <c r="B57" s="4" t="s">
        <v>98</v>
      </c>
      <c r="C57" s="4" t="s">
        <v>80</v>
      </c>
      <c r="D57" s="4" t="s">
        <v>221</v>
      </c>
      <c r="E57" s="4" t="s">
        <v>227</v>
      </c>
      <c r="F57" s="4" t="s">
        <v>50</v>
      </c>
      <c r="G57" s="7">
        <v>2020</v>
      </c>
      <c r="H57" s="4" t="s">
        <v>251</v>
      </c>
      <c r="I57" s="4" t="s">
        <v>250</v>
      </c>
      <c r="J57" s="4">
        <v>1</v>
      </c>
      <c r="K57" s="4" t="s">
        <v>231</v>
      </c>
      <c r="L57" s="4" t="s">
        <v>42</v>
      </c>
      <c r="M57" s="4">
        <v>200</v>
      </c>
      <c r="N57" s="4">
        <v>240</v>
      </c>
      <c r="O57" s="4" t="s">
        <v>79</v>
      </c>
      <c r="P57" s="4" t="s">
        <v>80</v>
      </c>
      <c r="Q57" s="4" t="s">
        <v>46</v>
      </c>
      <c r="R57" s="4" t="s">
        <v>241</v>
      </c>
      <c r="S57" s="4">
        <v>10.4</v>
      </c>
      <c r="T57" s="4">
        <f>BOM[[#This Row],[Longueur Tissage]]*BOM[[#This Row],[Duite Par Cm]]</f>
        <v>2496</v>
      </c>
      <c r="U57" s="8">
        <v>0.6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</row>
    <row r="58" spans="1:28" x14ac:dyDescent="0.25">
      <c r="A58" s="3" t="str">
        <f>CONCATENATE(BOM[[#This Row],[Code Modèle]],BOM[[#This Row],[Code Dimensions]],"(",BOM[[#This Row],[Code Type De Finition]],")","-",BOM[[#This Row],[Code Nombre de couleur]])</f>
        <v>U1626(FR)-U</v>
      </c>
      <c r="B58" s="4" t="s">
        <v>98</v>
      </c>
      <c r="C58" s="4" t="s">
        <v>80</v>
      </c>
      <c r="D58" s="4" t="s">
        <v>221</v>
      </c>
      <c r="E58" s="4" t="s">
        <v>227</v>
      </c>
      <c r="F58" s="4" t="s">
        <v>49</v>
      </c>
      <c r="G58" s="7">
        <v>1626</v>
      </c>
      <c r="H58" s="4" t="s">
        <v>252</v>
      </c>
      <c r="I58" s="4" t="s">
        <v>250</v>
      </c>
      <c r="J58" s="4">
        <v>1</v>
      </c>
      <c r="K58" s="4" t="s">
        <v>231</v>
      </c>
      <c r="L58" s="4" t="s">
        <v>42</v>
      </c>
      <c r="M58" s="4">
        <v>160</v>
      </c>
      <c r="N58" s="4">
        <v>200</v>
      </c>
      <c r="O58" s="4" t="s">
        <v>79</v>
      </c>
      <c r="P58" s="4" t="s">
        <v>80</v>
      </c>
      <c r="Q58" s="4" t="s">
        <v>46</v>
      </c>
      <c r="R58" s="4" t="s">
        <v>241</v>
      </c>
      <c r="S58" s="4">
        <v>10.4</v>
      </c>
      <c r="T58" s="4">
        <f>BOM[[#This Row],[Longueur Tissage]]*BOM[[#This Row],[Duite Par Cm]]</f>
        <v>2080</v>
      </c>
      <c r="U58" s="8">
        <v>0.6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</row>
    <row r="59" spans="1:28" x14ac:dyDescent="0.25">
      <c r="A59" s="3" t="str">
        <f>CONCATENATE(BOM[[#This Row],[Code Modèle]],BOM[[#This Row],[Code Dimensions]],"(",BOM[[#This Row],[Code Type De Finition]],")","-",BOM[[#This Row],[Code Nombre de couleur]])</f>
        <v>U2426(FR)-U</v>
      </c>
      <c r="B59" s="4" t="s">
        <v>98</v>
      </c>
      <c r="C59" s="4" t="s">
        <v>80</v>
      </c>
      <c r="D59" s="4" t="s">
        <v>221</v>
      </c>
      <c r="E59" s="4" t="s">
        <v>227</v>
      </c>
      <c r="F59" s="4" t="s">
        <v>52</v>
      </c>
      <c r="G59" s="7">
        <v>2426</v>
      </c>
      <c r="H59" s="4" t="s">
        <v>252</v>
      </c>
      <c r="I59" s="4" t="s">
        <v>250</v>
      </c>
      <c r="J59" s="4">
        <v>1</v>
      </c>
      <c r="K59" s="4" t="s">
        <v>231</v>
      </c>
      <c r="L59" s="4" t="s">
        <v>42</v>
      </c>
      <c r="M59" s="4">
        <v>240</v>
      </c>
      <c r="N59" s="4">
        <v>300</v>
      </c>
      <c r="O59" s="4" t="s">
        <v>79</v>
      </c>
      <c r="P59" s="4" t="s">
        <v>80</v>
      </c>
      <c r="Q59" s="4" t="s">
        <v>46</v>
      </c>
      <c r="R59" s="4" t="s">
        <v>241</v>
      </c>
      <c r="S59" s="4">
        <v>10.4</v>
      </c>
      <c r="T59" s="4">
        <f>BOM[[#This Row],[Longueur Tissage]]*BOM[[#This Row],[Duite Par Cm]]</f>
        <v>3120</v>
      </c>
      <c r="U59" s="8">
        <v>1.1000000000000001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</row>
    <row r="60" spans="1:28" x14ac:dyDescent="0.25">
      <c r="A60" s="3" t="str">
        <f>CONCATENATE(BOM[[#This Row],[Code Modèle]],BOM[[#This Row],[Code Dimensions]],"(",BOM[[#This Row],[Code Type De Finition]],")","-",BOM[[#This Row],[Code Nombre de couleur]])</f>
        <v>UNS1020(FR)-U</v>
      </c>
      <c r="B60" s="4" t="s">
        <v>99</v>
      </c>
      <c r="C60" s="4" t="s">
        <v>100</v>
      </c>
      <c r="D60" s="4" t="s">
        <v>221</v>
      </c>
      <c r="E60" s="4" t="s">
        <v>227</v>
      </c>
      <c r="F60" s="4" t="s">
        <v>43</v>
      </c>
      <c r="G60" s="7">
        <v>1020</v>
      </c>
      <c r="H60" s="4" t="s">
        <v>251</v>
      </c>
      <c r="I60" s="4" t="s">
        <v>250</v>
      </c>
      <c r="J60" s="4">
        <v>1</v>
      </c>
      <c r="K60" s="4" t="s">
        <v>231</v>
      </c>
      <c r="L60" s="4" t="s">
        <v>42</v>
      </c>
      <c r="M60" s="4">
        <v>100</v>
      </c>
      <c r="N60" s="4">
        <v>240</v>
      </c>
      <c r="O60" s="4" t="s">
        <v>79</v>
      </c>
      <c r="P60" s="4" t="s">
        <v>80</v>
      </c>
      <c r="Q60" s="4" t="s">
        <v>46</v>
      </c>
      <c r="R60" s="4" t="s">
        <v>241</v>
      </c>
      <c r="S60" s="4">
        <v>10.4</v>
      </c>
      <c r="T60" s="4">
        <f>BOM[[#This Row],[Longueur Tissage]]*BOM[[#This Row],[Duite Par Cm]]</f>
        <v>2496</v>
      </c>
      <c r="U60" s="8">
        <v>0.3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</row>
    <row r="61" spans="1:28" x14ac:dyDescent="0.25">
      <c r="A61" s="3" t="str">
        <f>CONCATENATE(BOM[[#This Row],[Code Modèle]],BOM[[#This Row],[Code Dimensions]],"(",BOM[[#This Row],[Code Type De Finition]],")","-",BOM[[#This Row],[Code Nombre de couleur]])</f>
        <v>UNS2020(FR)-U</v>
      </c>
      <c r="B61" s="4" t="s">
        <v>99</v>
      </c>
      <c r="C61" s="4" t="s">
        <v>100</v>
      </c>
      <c r="D61" s="4" t="s">
        <v>221</v>
      </c>
      <c r="E61" s="4" t="s">
        <v>227</v>
      </c>
      <c r="F61" s="4" t="s">
        <v>50</v>
      </c>
      <c r="G61" s="7">
        <v>2020</v>
      </c>
      <c r="H61" s="4" t="s">
        <v>251</v>
      </c>
      <c r="I61" s="4" t="s">
        <v>250</v>
      </c>
      <c r="J61" s="4">
        <v>1</v>
      </c>
      <c r="K61" s="4" t="s">
        <v>231</v>
      </c>
      <c r="L61" s="4" t="s">
        <v>42</v>
      </c>
      <c r="M61" s="4">
        <v>200</v>
      </c>
      <c r="N61" s="4">
        <v>240</v>
      </c>
      <c r="O61" s="4" t="s">
        <v>79</v>
      </c>
      <c r="P61" s="4" t="s">
        <v>80</v>
      </c>
      <c r="Q61" s="4" t="s">
        <v>46</v>
      </c>
      <c r="R61" s="4" t="s">
        <v>241</v>
      </c>
      <c r="S61" s="4">
        <v>10.4</v>
      </c>
      <c r="T61" s="4">
        <f>BOM[[#This Row],[Longueur Tissage]]*BOM[[#This Row],[Duite Par Cm]]</f>
        <v>2496</v>
      </c>
      <c r="U61" s="8">
        <v>0.6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</row>
    <row r="62" spans="1:28" x14ac:dyDescent="0.25">
      <c r="A62" s="3" t="str">
        <f>CONCATENATE(BOM[[#This Row],[Code Modèle]],BOM[[#This Row],[Code Dimensions]],"(",BOM[[#This Row],[Code Type De Finition]],")","-",BOM[[#This Row],[Code Nombre de couleur]])</f>
        <v>UNS1626(FR)-U</v>
      </c>
      <c r="B62" s="4" t="s">
        <v>99</v>
      </c>
      <c r="C62" s="4" t="s">
        <v>100</v>
      </c>
      <c r="D62" s="4" t="s">
        <v>221</v>
      </c>
      <c r="E62" s="4" t="s">
        <v>227</v>
      </c>
      <c r="F62" s="4" t="s">
        <v>49</v>
      </c>
      <c r="G62" s="7">
        <v>1626</v>
      </c>
      <c r="H62" s="4" t="s">
        <v>252</v>
      </c>
      <c r="I62" s="4" t="s">
        <v>250</v>
      </c>
      <c r="J62" s="4">
        <v>1</v>
      </c>
      <c r="K62" s="4" t="s">
        <v>231</v>
      </c>
      <c r="L62" s="4" t="s">
        <v>42</v>
      </c>
      <c r="M62" s="4">
        <v>160</v>
      </c>
      <c r="N62" s="4">
        <v>200</v>
      </c>
      <c r="O62" s="4" t="s">
        <v>79</v>
      </c>
      <c r="P62" s="4" t="s">
        <v>80</v>
      </c>
      <c r="Q62" s="4" t="s">
        <v>46</v>
      </c>
      <c r="R62" s="4" t="s">
        <v>241</v>
      </c>
      <c r="S62" s="4">
        <v>10.4</v>
      </c>
      <c r="T62" s="4">
        <f>BOM[[#This Row],[Longueur Tissage]]*BOM[[#This Row],[Duite Par Cm]]</f>
        <v>2080</v>
      </c>
      <c r="U62" s="8">
        <v>0.6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</row>
    <row r="63" spans="1:28" x14ac:dyDescent="0.25">
      <c r="A63" s="3" t="str">
        <f>CONCATENATE(BOM[[#This Row],[Code Modèle]],BOM[[#This Row],[Code Dimensions]],"(",BOM[[#This Row],[Code Type De Finition]],")","-",BOM[[#This Row],[Code Nombre de couleur]])</f>
        <v>UNS2030(FR)-U</v>
      </c>
      <c r="B63" s="4" t="s">
        <v>99</v>
      </c>
      <c r="C63" s="4" t="s">
        <v>100</v>
      </c>
      <c r="D63" s="4" t="s">
        <v>221</v>
      </c>
      <c r="E63" s="4" t="s">
        <v>227</v>
      </c>
      <c r="F63" s="4" t="s">
        <v>51</v>
      </c>
      <c r="G63" s="7">
        <v>2030</v>
      </c>
      <c r="H63" s="4" t="s">
        <v>252</v>
      </c>
      <c r="I63" s="4" t="s">
        <v>250</v>
      </c>
      <c r="J63" s="4">
        <v>1</v>
      </c>
      <c r="K63" s="4" t="s">
        <v>231</v>
      </c>
      <c r="L63" s="4" t="s">
        <v>42</v>
      </c>
      <c r="M63" s="4">
        <v>200</v>
      </c>
      <c r="N63" s="4">
        <v>340</v>
      </c>
      <c r="O63" s="4" t="s">
        <v>79</v>
      </c>
      <c r="P63" s="4" t="s">
        <v>80</v>
      </c>
      <c r="Q63" s="4" t="s">
        <v>46</v>
      </c>
      <c r="R63" s="4" t="s">
        <v>241</v>
      </c>
      <c r="S63" s="4">
        <v>10.4</v>
      </c>
      <c r="T63" s="4">
        <f>BOM[[#This Row],[Longueur Tissage]]*BOM[[#This Row],[Duite Par Cm]]</f>
        <v>3536</v>
      </c>
      <c r="U63" s="8">
        <v>0.9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</row>
    <row r="64" spans="1:28" ht="27" x14ac:dyDescent="0.25">
      <c r="A64" s="3" t="str">
        <f>CONCATENATE(BOM[[#This Row],[Code Modèle]],BOM[[#This Row],[Code Dimensions]],"(",BOM[[#This Row],[Code Type De Finition]],")","-",BOM[[#This Row],[Code Nombre de couleur]])</f>
        <v>HCUNS0507(CO)-U</v>
      </c>
      <c r="B64" s="4" t="s">
        <v>99</v>
      </c>
      <c r="C64" s="4" t="s">
        <v>238</v>
      </c>
      <c r="D64" s="4" t="s">
        <v>221</v>
      </c>
      <c r="E64" s="4" t="s">
        <v>227</v>
      </c>
      <c r="F64" s="4" t="s">
        <v>101</v>
      </c>
      <c r="G64" s="7" t="s">
        <v>201</v>
      </c>
      <c r="H64" s="4" t="s">
        <v>259</v>
      </c>
      <c r="I64" s="4" t="s">
        <v>248</v>
      </c>
      <c r="J64" s="4">
        <v>2</v>
      </c>
      <c r="K64" s="4" t="s">
        <v>220</v>
      </c>
      <c r="L64" s="4" t="s">
        <v>215</v>
      </c>
      <c r="M64" s="4">
        <v>180</v>
      </c>
      <c r="N64" s="4">
        <v>55</v>
      </c>
      <c r="O64" s="4" t="s">
        <v>79</v>
      </c>
      <c r="P64" s="4" t="s">
        <v>80</v>
      </c>
      <c r="Q64" s="4" t="s">
        <v>46</v>
      </c>
      <c r="R64" s="4" t="s">
        <v>241</v>
      </c>
      <c r="S64" s="4">
        <v>8.8000000000000007</v>
      </c>
      <c r="T64" s="4">
        <f>BOM[[#This Row],[Longueur Tissage]]*BOM[[#This Row],[Duite Par Cm]]</f>
        <v>484.00000000000006</v>
      </c>
      <c r="U64" s="8">
        <v>0.2</v>
      </c>
      <c r="V64" s="8">
        <v>0</v>
      </c>
      <c r="W64" s="8"/>
      <c r="X64" s="8"/>
      <c r="Y64" s="8"/>
      <c r="Z64" s="8"/>
      <c r="AA64" s="8"/>
      <c r="AB64" s="8"/>
    </row>
    <row r="65" spans="1:28" x14ac:dyDescent="0.25">
      <c r="A65" s="3" t="str">
        <f>CONCATENATE(BOM[[#This Row],[Code Modèle]],BOM[[#This Row],[Code Dimensions]],"(",BOM[[#This Row],[Code Type De Finition]],")","-",BOM[[#This Row],[Code Nombre de couleur]])</f>
        <v>UNS2426(FR)-U</v>
      </c>
      <c r="B65" s="4" t="s">
        <v>99</v>
      </c>
      <c r="C65" s="4" t="s">
        <v>100</v>
      </c>
      <c r="D65" s="4" t="s">
        <v>221</v>
      </c>
      <c r="E65" s="4" t="s">
        <v>227</v>
      </c>
      <c r="F65" s="4" t="s">
        <v>52</v>
      </c>
      <c r="G65" s="7">
        <v>2426</v>
      </c>
      <c r="H65" s="4" t="s">
        <v>252</v>
      </c>
      <c r="I65" s="4" t="s">
        <v>250</v>
      </c>
      <c r="J65" s="4">
        <v>1</v>
      </c>
      <c r="K65" s="4" t="s">
        <v>231</v>
      </c>
      <c r="L65" s="4" t="s">
        <v>42</v>
      </c>
      <c r="M65" s="4">
        <v>240</v>
      </c>
      <c r="N65" s="4">
        <v>300</v>
      </c>
      <c r="O65" s="4" t="s">
        <v>79</v>
      </c>
      <c r="P65" s="4" t="s">
        <v>80</v>
      </c>
      <c r="Q65" s="4" t="s">
        <v>46</v>
      </c>
      <c r="R65" s="4" t="s">
        <v>241</v>
      </c>
      <c r="S65" s="4">
        <v>10.4</v>
      </c>
      <c r="T65" s="4">
        <f>BOM[[#This Row],[Longueur Tissage]]*BOM[[#This Row],[Duite Par Cm]]</f>
        <v>3120</v>
      </c>
      <c r="U65" s="8">
        <v>1.1000000000000001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</row>
    <row r="66" spans="1:28" x14ac:dyDescent="0.25">
      <c r="A66" s="3" t="str">
        <f>CONCATENATE(BOM[[#This Row],[Code Modèle]],BOM[[#This Row],[Code Dimensions]],"(",BOM[[#This Row],[Code Type De Finition]],")","-",BOM[[#This Row],[Code Nombre de couleur]])</f>
        <v>EPU0918(FR)-U</v>
      </c>
      <c r="B66" s="4" t="s">
        <v>98</v>
      </c>
      <c r="C66" s="4" t="s">
        <v>102</v>
      </c>
      <c r="D66" s="4" t="s">
        <v>229</v>
      </c>
      <c r="E66" s="4" t="s">
        <v>56</v>
      </c>
      <c r="F66" s="4" t="s">
        <v>58</v>
      </c>
      <c r="G66" s="7" t="s">
        <v>208</v>
      </c>
      <c r="H66" s="4" t="s">
        <v>253</v>
      </c>
      <c r="I66" s="4" t="s">
        <v>250</v>
      </c>
      <c r="J66" s="4">
        <v>1</v>
      </c>
      <c r="K66" s="4" t="s">
        <v>231</v>
      </c>
      <c r="L66" s="4" t="s">
        <v>42</v>
      </c>
      <c r="M66" s="4">
        <v>100</v>
      </c>
      <c r="N66" s="4">
        <v>210</v>
      </c>
      <c r="O66" s="4" t="s">
        <v>79</v>
      </c>
      <c r="P66" s="4" t="s">
        <v>80</v>
      </c>
      <c r="Q66" s="4" t="s">
        <v>46</v>
      </c>
      <c r="R66" s="4" t="s">
        <v>241</v>
      </c>
      <c r="S66" s="4">
        <v>14</v>
      </c>
      <c r="T66" s="4">
        <f>BOM[[#This Row],[Longueur Tissage]]*BOM[[#This Row],[Duite Par Cm]]</f>
        <v>2940</v>
      </c>
      <c r="U66" s="8">
        <v>0.35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</row>
    <row r="67" spans="1:28" x14ac:dyDescent="0.25">
      <c r="A67" s="3" t="str">
        <f>CONCATENATE(BOM[[#This Row],[Code Modèle]],BOM[[#This Row],[Code Dimensions]],"(",BOM[[#This Row],[Code Type De Finition]],")","-",BOM[[#This Row],[Code Nombre de couleur]])</f>
        <v>EPU0919(FR)-U</v>
      </c>
      <c r="B67" s="4" t="s">
        <v>98</v>
      </c>
      <c r="C67" s="4" t="s">
        <v>102</v>
      </c>
      <c r="D67" s="4" t="s">
        <v>229</v>
      </c>
      <c r="E67" s="4" t="s">
        <v>56</v>
      </c>
      <c r="F67" s="4" t="s">
        <v>57</v>
      </c>
      <c r="G67" s="7" t="s">
        <v>200</v>
      </c>
      <c r="H67" s="4" t="s">
        <v>253</v>
      </c>
      <c r="I67" s="4" t="s">
        <v>250</v>
      </c>
      <c r="J67" s="4">
        <v>1</v>
      </c>
      <c r="K67" s="4" t="s">
        <v>231</v>
      </c>
      <c r="L67" s="4" t="s">
        <v>42</v>
      </c>
      <c r="M67" s="4">
        <v>100</v>
      </c>
      <c r="N67" s="4">
        <v>220</v>
      </c>
      <c r="O67" s="4" t="s">
        <v>79</v>
      </c>
      <c r="P67" s="4" t="s">
        <v>80</v>
      </c>
      <c r="Q67" s="4" t="s">
        <v>46</v>
      </c>
      <c r="R67" s="4" t="s">
        <v>241</v>
      </c>
      <c r="S67" s="4">
        <v>14</v>
      </c>
      <c r="T67" s="4">
        <f>BOM[[#This Row],[Longueur Tissage]]*BOM[[#This Row],[Duite Par Cm]]</f>
        <v>3080</v>
      </c>
      <c r="U67" s="8">
        <v>0.35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</row>
    <row r="68" spans="1:28" x14ac:dyDescent="0.25">
      <c r="A68" s="3" t="str">
        <f>CONCATENATE(BOM[[#This Row],[Code Modèle]],BOM[[#This Row],[Code Dimensions]],"(",BOM[[#This Row],[Code Type De Finition]],")","-",BOM[[#This Row],[Code Nombre de couleur]])</f>
        <v>EPU1020(CO)-U</v>
      </c>
      <c r="B68" s="4" t="s">
        <v>98</v>
      </c>
      <c r="C68" s="4" t="s">
        <v>102</v>
      </c>
      <c r="D68" s="4" t="s">
        <v>229</v>
      </c>
      <c r="E68" s="4" t="s">
        <v>56</v>
      </c>
      <c r="F68" s="4" t="s">
        <v>43</v>
      </c>
      <c r="G68" s="7">
        <v>1020</v>
      </c>
      <c r="H68" s="4" t="s">
        <v>251</v>
      </c>
      <c r="I68" s="4" t="s">
        <v>250</v>
      </c>
      <c r="J68" s="4">
        <v>1</v>
      </c>
      <c r="K68" s="4" t="s">
        <v>220</v>
      </c>
      <c r="L68" s="4" t="s">
        <v>215</v>
      </c>
      <c r="M68" s="4">
        <v>100</v>
      </c>
      <c r="N68" s="4">
        <v>200</v>
      </c>
      <c r="O68" s="4" t="s">
        <v>79</v>
      </c>
      <c r="P68" s="4" t="s">
        <v>80</v>
      </c>
      <c r="Q68" s="4" t="s">
        <v>46</v>
      </c>
      <c r="R68" s="4" t="s">
        <v>241</v>
      </c>
      <c r="S68" s="4">
        <v>14</v>
      </c>
      <c r="T68" s="4">
        <f>BOM[[#This Row],[Longueur Tissage]]*BOM[[#This Row],[Duite Par Cm]]</f>
        <v>2800</v>
      </c>
      <c r="U68" s="8">
        <v>0.35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</row>
    <row r="69" spans="1:28" x14ac:dyDescent="0.25">
      <c r="A69" s="3" t="str">
        <f>CONCATENATE(BOM[[#This Row],[Code Modèle]],BOM[[#This Row],[Code Dimensions]],"(",BOM[[#This Row],[Code Type De Finition]],")","-",BOM[[#This Row],[Code Nombre de couleur]])</f>
        <v>MAL0917(FR)-B</v>
      </c>
      <c r="B69" s="4" t="s">
        <v>103</v>
      </c>
      <c r="C69" s="4" t="s">
        <v>104</v>
      </c>
      <c r="D69" s="4" t="s">
        <v>221</v>
      </c>
      <c r="E69" s="4" t="s">
        <v>227</v>
      </c>
      <c r="F69" s="4" t="s">
        <v>105</v>
      </c>
      <c r="G69" s="7" t="s">
        <v>209</v>
      </c>
      <c r="H69" s="4" t="s">
        <v>251</v>
      </c>
      <c r="I69" s="4" t="s">
        <v>250</v>
      </c>
      <c r="J69" s="4">
        <v>1</v>
      </c>
      <c r="K69" s="4" t="s">
        <v>231</v>
      </c>
      <c r="L69" s="4" t="s">
        <v>42</v>
      </c>
      <c r="M69" s="4">
        <v>90</v>
      </c>
      <c r="N69" s="4">
        <v>200</v>
      </c>
      <c r="O69" s="4" t="s">
        <v>44</v>
      </c>
      <c r="P69" s="4" t="s">
        <v>45</v>
      </c>
      <c r="Q69" s="4" t="s">
        <v>46</v>
      </c>
      <c r="R69" s="4" t="s">
        <v>241</v>
      </c>
      <c r="S69" s="4">
        <v>10.4</v>
      </c>
      <c r="T69" s="4">
        <f>BOM[[#This Row],[Longueur Tissage]]*BOM[[#This Row],[Duite Par Cm]]</f>
        <v>2080</v>
      </c>
      <c r="U69" s="8">
        <v>0.25</v>
      </c>
      <c r="V69" s="8">
        <v>0.05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</row>
    <row r="70" spans="1:28" x14ac:dyDescent="0.25">
      <c r="A70" s="3" t="str">
        <f>CONCATENATE(BOM[[#This Row],[Code Modèle]],BOM[[#This Row],[Code Dimensions]],"(",BOM[[#This Row],[Code Type De Finition]],")","-",BOM[[#This Row],[Code Nombre de couleur]])</f>
        <v>IS1020(FR)-B</v>
      </c>
      <c r="B70" s="4" t="s">
        <v>106</v>
      </c>
      <c r="C70" s="4" t="s">
        <v>107</v>
      </c>
      <c r="D70" s="4" t="s">
        <v>221</v>
      </c>
      <c r="E70" s="4" t="s">
        <v>227</v>
      </c>
      <c r="F70" s="4" t="s">
        <v>43</v>
      </c>
      <c r="G70" s="7">
        <v>1020</v>
      </c>
      <c r="H70" s="4" t="s">
        <v>251</v>
      </c>
      <c r="I70" s="4" t="s">
        <v>250</v>
      </c>
      <c r="J70" s="4">
        <v>1</v>
      </c>
      <c r="K70" s="4" t="s">
        <v>231</v>
      </c>
      <c r="L70" s="4" t="s">
        <v>42</v>
      </c>
      <c r="M70" s="4">
        <v>100</v>
      </c>
      <c r="N70" s="4">
        <v>240</v>
      </c>
      <c r="O70" s="4" t="s">
        <v>44</v>
      </c>
      <c r="P70" s="4" t="s">
        <v>45</v>
      </c>
      <c r="Q70" s="4" t="s">
        <v>46</v>
      </c>
      <c r="R70" s="4" t="s">
        <v>241</v>
      </c>
      <c r="S70" s="4">
        <v>11</v>
      </c>
      <c r="T70" s="4">
        <f>BOM[[#This Row],[Longueur Tissage]]*BOM[[#This Row],[Duite Par Cm]]</f>
        <v>2640</v>
      </c>
      <c r="U70" s="8">
        <v>0.24</v>
      </c>
      <c r="V70" s="8">
        <v>0.08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</row>
    <row r="71" spans="1:28" x14ac:dyDescent="0.25">
      <c r="A71" s="3" t="str">
        <f>CONCATENATE(BOM[[#This Row],[Code Modèle]],BOM[[#This Row],[Code Dimensions]],"(",BOM[[#This Row],[Code Type De Finition]],")","-",BOM[[#This Row],[Code Nombre de couleur]])</f>
        <v>TU1020(FR)-B</v>
      </c>
      <c r="B71" s="4" t="s">
        <v>108</v>
      </c>
      <c r="C71" s="4" t="s">
        <v>109</v>
      </c>
      <c r="D71" s="4" t="s">
        <v>221</v>
      </c>
      <c r="E71" s="4" t="s">
        <v>227</v>
      </c>
      <c r="F71" s="4" t="s">
        <v>43</v>
      </c>
      <c r="G71" s="7">
        <v>1020</v>
      </c>
      <c r="H71" s="4" t="s">
        <v>251</v>
      </c>
      <c r="I71" s="4" t="s">
        <v>250</v>
      </c>
      <c r="J71" s="4">
        <v>1</v>
      </c>
      <c r="K71" s="4" t="s">
        <v>231</v>
      </c>
      <c r="L71" s="4" t="s">
        <v>42</v>
      </c>
      <c r="M71" s="4">
        <v>100</v>
      </c>
      <c r="N71" s="4">
        <v>240</v>
      </c>
      <c r="O71" s="4" t="s">
        <v>44</v>
      </c>
      <c r="P71" s="4" t="s">
        <v>45</v>
      </c>
      <c r="Q71" s="4" t="s">
        <v>46</v>
      </c>
      <c r="R71" s="4" t="s">
        <v>241</v>
      </c>
      <c r="S71" s="4">
        <v>11</v>
      </c>
      <c r="T71" s="4">
        <f>BOM[[#This Row],[Longueur Tissage]]*BOM[[#This Row],[Duite Par Cm]]</f>
        <v>2640</v>
      </c>
      <c r="U71" s="8">
        <v>0.24</v>
      </c>
      <c r="V71" s="8">
        <v>0.08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</row>
    <row r="72" spans="1:28" x14ac:dyDescent="0.25">
      <c r="A72" s="3" t="str">
        <f>CONCATENATE(BOM[[#This Row],[Code Modèle]],BOM[[#This Row],[Code Dimensions]],"(",BOM[[#This Row],[Code Type De Finition]],")","-",BOM[[#This Row],[Code Nombre de couleur]])</f>
        <v>NDL1020(FR)-B</v>
      </c>
      <c r="B72" s="4" t="s">
        <v>110</v>
      </c>
      <c r="C72" s="4" t="s">
        <v>111</v>
      </c>
      <c r="D72" s="4" t="s">
        <v>222</v>
      </c>
      <c r="E72" s="4" t="s">
        <v>223</v>
      </c>
      <c r="F72" s="4" t="s">
        <v>43</v>
      </c>
      <c r="G72" s="7">
        <v>1020</v>
      </c>
      <c r="H72" s="4" t="s">
        <v>251</v>
      </c>
      <c r="I72" s="4" t="s">
        <v>250</v>
      </c>
      <c r="J72" s="4">
        <v>1</v>
      </c>
      <c r="K72" s="4" t="s">
        <v>231</v>
      </c>
      <c r="L72" s="4" t="s">
        <v>42</v>
      </c>
      <c r="M72" s="4">
        <v>100</v>
      </c>
      <c r="N72" s="4">
        <v>240</v>
      </c>
      <c r="O72" s="4" t="s">
        <v>44</v>
      </c>
      <c r="P72" s="4" t="s">
        <v>45</v>
      </c>
      <c r="Q72" s="4" t="s">
        <v>46</v>
      </c>
      <c r="R72" s="4" t="s">
        <v>241</v>
      </c>
      <c r="S72" s="4">
        <v>10.8</v>
      </c>
      <c r="T72" s="4">
        <f>BOM[[#This Row],[Longueur Tissage]]*BOM[[#This Row],[Duite Par Cm]]</f>
        <v>2592</v>
      </c>
      <c r="U72" s="8">
        <v>0.28999999999999998</v>
      </c>
      <c r="V72" s="8">
        <v>0.05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</row>
    <row r="73" spans="1:28" x14ac:dyDescent="0.25">
      <c r="A73" s="3" t="str">
        <f>CONCATENATE(BOM[[#This Row],[Code Modèle]],BOM[[#This Row],[Code Dimensions]],"(",BOM[[#This Row],[Code Type De Finition]],")","-",BOM[[#This Row],[Code Nombre de couleur]])</f>
        <v>NDL2020(FR)-B</v>
      </c>
      <c r="B73" s="4" t="s">
        <v>110</v>
      </c>
      <c r="C73" s="4" t="s">
        <v>111</v>
      </c>
      <c r="D73" s="4" t="s">
        <v>222</v>
      </c>
      <c r="E73" s="4" t="s">
        <v>223</v>
      </c>
      <c r="F73" s="4" t="s">
        <v>50</v>
      </c>
      <c r="G73" s="7">
        <v>2020</v>
      </c>
      <c r="H73" s="4" t="s">
        <v>251</v>
      </c>
      <c r="I73" s="4" t="s">
        <v>250</v>
      </c>
      <c r="J73" s="4">
        <v>1</v>
      </c>
      <c r="K73" s="4" t="s">
        <v>231</v>
      </c>
      <c r="L73" s="4" t="s">
        <v>42</v>
      </c>
      <c r="M73" s="4">
        <v>200</v>
      </c>
      <c r="N73" s="4">
        <v>240</v>
      </c>
      <c r="O73" s="4" t="s">
        <v>44</v>
      </c>
      <c r="P73" s="4" t="s">
        <v>45</v>
      </c>
      <c r="Q73" s="4" t="s">
        <v>46</v>
      </c>
      <c r="R73" s="4" t="s">
        <v>241</v>
      </c>
      <c r="S73" s="4">
        <v>10.8</v>
      </c>
      <c r="T73" s="4">
        <f>BOM[[#This Row],[Longueur Tissage]]*BOM[[#This Row],[Duite Par Cm]]</f>
        <v>2592</v>
      </c>
      <c r="U73" s="8">
        <v>0.6</v>
      </c>
      <c r="V73" s="8">
        <v>0.1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</row>
    <row r="74" spans="1:28" x14ac:dyDescent="0.25">
      <c r="A74" s="3" t="str">
        <f>CONCATENATE(BOM[[#This Row],[Code Modèle]],BOM[[#This Row],[Code Dimensions]],"(",BOM[[#This Row],[Code Type De Finition]],")","-",BOM[[#This Row],[Code Nombre de couleur]])</f>
        <v>NDLIL1020(FR)-T</v>
      </c>
      <c r="B74" s="4" t="s">
        <v>112</v>
      </c>
      <c r="C74" s="4" t="s">
        <v>113</v>
      </c>
      <c r="D74" s="4" t="s">
        <v>222</v>
      </c>
      <c r="E74" s="4" t="s">
        <v>223</v>
      </c>
      <c r="F74" s="4" t="s">
        <v>43</v>
      </c>
      <c r="G74" s="7">
        <v>1020</v>
      </c>
      <c r="H74" s="4" t="s">
        <v>251</v>
      </c>
      <c r="I74" s="4" t="s">
        <v>250</v>
      </c>
      <c r="J74" s="4">
        <v>1</v>
      </c>
      <c r="K74" s="4" t="s">
        <v>231</v>
      </c>
      <c r="L74" s="4" t="s">
        <v>42</v>
      </c>
      <c r="M74" s="4">
        <v>100</v>
      </c>
      <c r="N74" s="4">
        <v>240</v>
      </c>
      <c r="O74" s="4" t="s">
        <v>47</v>
      </c>
      <c r="P74" s="4" t="s">
        <v>48</v>
      </c>
      <c r="Q74" s="4" t="s">
        <v>46</v>
      </c>
      <c r="R74" s="4" t="s">
        <v>241</v>
      </c>
      <c r="S74" s="4">
        <v>10.8</v>
      </c>
      <c r="T74" s="4">
        <f>BOM[[#This Row],[Longueur Tissage]]*BOM[[#This Row],[Duite Par Cm]]</f>
        <v>2592</v>
      </c>
      <c r="U74" s="9">
        <v>0.28000000000000003</v>
      </c>
      <c r="V74" s="9">
        <v>0.04</v>
      </c>
      <c r="W74" s="9">
        <v>0.01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</row>
    <row r="75" spans="1:28" x14ac:dyDescent="0.25">
      <c r="A75" s="3" t="str">
        <f>CONCATENATE(BOM[[#This Row],[Code Modèle]],BOM[[#This Row],[Code Dimensions]],"(",BOM[[#This Row],[Code Type De Finition]],")","-",BOM[[#This Row],[Code Nombre de couleur]])</f>
        <v>NDLIL2020(FR)-T</v>
      </c>
      <c r="B75" s="4" t="s">
        <v>112</v>
      </c>
      <c r="C75" s="4" t="s">
        <v>113</v>
      </c>
      <c r="D75" s="4" t="s">
        <v>222</v>
      </c>
      <c r="E75" s="4" t="s">
        <v>223</v>
      </c>
      <c r="F75" s="4" t="s">
        <v>50</v>
      </c>
      <c r="G75" s="7">
        <v>2020</v>
      </c>
      <c r="H75" s="4" t="s">
        <v>251</v>
      </c>
      <c r="I75" s="4" t="s">
        <v>250</v>
      </c>
      <c r="J75" s="4">
        <v>1</v>
      </c>
      <c r="K75" s="4" t="s">
        <v>231</v>
      </c>
      <c r="L75" s="4" t="s">
        <v>42</v>
      </c>
      <c r="M75" s="4">
        <v>200</v>
      </c>
      <c r="N75" s="4">
        <v>240</v>
      </c>
      <c r="O75" s="4" t="s">
        <v>47</v>
      </c>
      <c r="P75" s="4" t="s">
        <v>48</v>
      </c>
      <c r="Q75" s="4" t="s">
        <v>46</v>
      </c>
      <c r="R75" s="4" t="s">
        <v>241</v>
      </c>
      <c r="S75" s="4">
        <v>10.8</v>
      </c>
      <c r="T75" s="4">
        <f>BOM[[#This Row],[Longueur Tissage]]*BOM[[#This Row],[Duite Par Cm]]</f>
        <v>2592</v>
      </c>
      <c r="U75" s="9">
        <v>0.56000000000000005</v>
      </c>
      <c r="V75" s="9">
        <v>0.08</v>
      </c>
      <c r="W75" s="9">
        <v>0.02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</row>
    <row r="76" spans="1:28" x14ac:dyDescent="0.25">
      <c r="A76" s="3" t="str">
        <f>CONCATENATE(BOM[[#This Row],[Code Modèle]],BOM[[#This Row],[Code Dimensions]],"(",BOM[[#This Row],[Code Type De Finition]],")","-",BOM[[#This Row],[Code Nombre de couleur]])</f>
        <v>NDAR1020(FR)-B</v>
      </c>
      <c r="B76" s="4" t="s">
        <v>114</v>
      </c>
      <c r="C76" s="4" t="s">
        <v>115</v>
      </c>
      <c r="D76" s="4" t="s">
        <v>222</v>
      </c>
      <c r="E76" s="4" t="s">
        <v>223</v>
      </c>
      <c r="F76" s="4" t="s">
        <v>43</v>
      </c>
      <c r="G76" s="7">
        <v>1020</v>
      </c>
      <c r="H76" s="4" t="s">
        <v>251</v>
      </c>
      <c r="I76" s="4" t="s">
        <v>250</v>
      </c>
      <c r="J76" s="4">
        <v>1</v>
      </c>
      <c r="K76" s="4" t="s">
        <v>231</v>
      </c>
      <c r="L76" s="4" t="s">
        <v>42</v>
      </c>
      <c r="M76" s="4">
        <v>100</v>
      </c>
      <c r="N76" s="4">
        <v>240</v>
      </c>
      <c r="O76" s="4" t="s">
        <v>44</v>
      </c>
      <c r="P76" s="4" t="s">
        <v>45</v>
      </c>
      <c r="Q76" s="4" t="s">
        <v>46</v>
      </c>
      <c r="R76" s="4" t="s">
        <v>241</v>
      </c>
      <c r="S76" s="4">
        <v>10.8</v>
      </c>
      <c r="T76" s="4">
        <f>BOM[[#This Row],[Longueur Tissage]]*BOM[[#This Row],[Duite Par Cm]]</f>
        <v>2592</v>
      </c>
      <c r="U76" s="9">
        <v>0.28999999999999998</v>
      </c>
      <c r="V76" s="9">
        <v>7.0000000000000007E-2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</row>
    <row r="77" spans="1:28" x14ac:dyDescent="0.25">
      <c r="A77" s="3" t="str">
        <f>CONCATENATE(BOM[[#This Row],[Code Modèle]],BOM[[#This Row],[Code Dimensions]],"(",BOM[[#This Row],[Code Type De Finition]],")","-",BOM[[#This Row],[Code Nombre de couleur]])</f>
        <v>NDAR2020(FR)-B</v>
      </c>
      <c r="B77" s="4" t="s">
        <v>114</v>
      </c>
      <c r="C77" s="4" t="s">
        <v>115</v>
      </c>
      <c r="D77" s="4" t="s">
        <v>222</v>
      </c>
      <c r="E77" s="4" t="s">
        <v>223</v>
      </c>
      <c r="F77" s="4" t="s">
        <v>50</v>
      </c>
      <c r="G77" s="7">
        <v>2020</v>
      </c>
      <c r="H77" s="4" t="s">
        <v>251</v>
      </c>
      <c r="I77" s="4" t="s">
        <v>250</v>
      </c>
      <c r="J77" s="4">
        <v>1</v>
      </c>
      <c r="K77" s="4" t="s">
        <v>231</v>
      </c>
      <c r="L77" s="4" t="s">
        <v>42</v>
      </c>
      <c r="M77" s="4">
        <v>200</v>
      </c>
      <c r="N77" s="4">
        <v>240</v>
      </c>
      <c r="O77" s="4" t="s">
        <v>44</v>
      </c>
      <c r="P77" s="4" t="s">
        <v>45</v>
      </c>
      <c r="Q77" s="4" t="s">
        <v>46</v>
      </c>
      <c r="R77" s="4" t="s">
        <v>241</v>
      </c>
      <c r="S77" s="4">
        <v>10.8</v>
      </c>
      <c r="T77" s="4">
        <f>BOM[[#This Row],[Longueur Tissage]]*BOM[[#This Row],[Duite Par Cm]]</f>
        <v>2592</v>
      </c>
      <c r="U77" s="8">
        <v>0.57999999999999996</v>
      </c>
      <c r="V77" s="8">
        <v>0.14000000000000001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</row>
    <row r="78" spans="1:28" x14ac:dyDescent="0.25">
      <c r="A78" s="3" t="str">
        <f>CONCATENATE(BOM[[#This Row],[Code Modèle]],BOM[[#This Row],[Code Dimensions]],"(",BOM[[#This Row],[Code Type De Finition]],")","-",BOM[[#This Row],[Code Nombre de couleur]])</f>
        <v>NDBA1020(FR)-B</v>
      </c>
      <c r="B78" s="4" t="s">
        <v>116</v>
      </c>
      <c r="C78" s="4" t="s">
        <v>117</v>
      </c>
      <c r="D78" s="4" t="s">
        <v>222</v>
      </c>
      <c r="E78" s="4" t="s">
        <v>223</v>
      </c>
      <c r="F78" s="4" t="s">
        <v>43</v>
      </c>
      <c r="G78" s="7">
        <v>1020</v>
      </c>
      <c r="H78" s="4" t="s">
        <v>251</v>
      </c>
      <c r="I78" s="4" t="s">
        <v>250</v>
      </c>
      <c r="J78" s="4">
        <v>1</v>
      </c>
      <c r="K78" s="4" t="s">
        <v>231</v>
      </c>
      <c r="L78" s="4" t="s">
        <v>42</v>
      </c>
      <c r="M78" s="4">
        <v>100</v>
      </c>
      <c r="N78" s="4">
        <v>240</v>
      </c>
      <c r="O78" s="4" t="s">
        <v>44</v>
      </c>
      <c r="P78" s="4" t="s">
        <v>45</v>
      </c>
      <c r="Q78" s="4" t="s">
        <v>46</v>
      </c>
      <c r="R78" s="4" t="s">
        <v>241</v>
      </c>
      <c r="S78" s="4">
        <v>10.8</v>
      </c>
      <c r="T78" s="4">
        <f>BOM[[#This Row],[Longueur Tissage]]*BOM[[#This Row],[Duite Par Cm]]</f>
        <v>2592</v>
      </c>
      <c r="U78" s="8">
        <v>0.25</v>
      </c>
      <c r="V78" s="8">
        <v>0.06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</row>
    <row r="79" spans="1:28" x14ac:dyDescent="0.25">
      <c r="A79" s="3" t="str">
        <f>CONCATENATE(BOM[[#This Row],[Code Modèle]],BOM[[#This Row],[Code Dimensions]],"(",BOM[[#This Row],[Code Type De Finition]],")","-",BOM[[#This Row],[Code Nombre de couleur]])</f>
        <v>NDBA2020(FR)-B</v>
      </c>
      <c r="B79" s="4" t="s">
        <v>116</v>
      </c>
      <c r="C79" s="4" t="s">
        <v>117</v>
      </c>
      <c r="D79" s="4" t="s">
        <v>222</v>
      </c>
      <c r="E79" s="4" t="s">
        <v>223</v>
      </c>
      <c r="F79" s="4" t="s">
        <v>50</v>
      </c>
      <c r="G79" s="7">
        <v>2020</v>
      </c>
      <c r="H79" s="4" t="s">
        <v>251</v>
      </c>
      <c r="I79" s="4" t="s">
        <v>250</v>
      </c>
      <c r="J79" s="4">
        <v>1</v>
      </c>
      <c r="K79" s="4" t="s">
        <v>231</v>
      </c>
      <c r="L79" s="4" t="s">
        <v>42</v>
      </c>
      <c r="M79" s="4">
        <v>200</v>
      </c>
      <c r="N79" s="4">
        <v>240</v>
      </c>
      <c r="O79" s="4" t="s">
        <v>44</v>
      </c>
      <c r="P79" s="4" t="s">
        <v>45</v>
      </c>
      <c r="Q79" s="4" t="s">
        <v>46</v>
      </c>
      <c r="R79" s="4" t="s">
        <v>241</v>
      </c>
      <c r="S79" s="4">
        <v>10.8</v>
      </c>
      <c r="T79" s="4">
        <f>BOM[[#This Row],[Longueur Tissage]]*BOM[[#This Row],[Duite Par Cm]]</f>
        <v>2592</v>
      </c>
      <c r="U79" s="8">
        <v>0.5</v>
      </c>
      <c r="V79" s="8">
        <v>0.12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</row>
    <row r="80" spans="1:28" x14ac:dyDescent="0.25">
      <c r="A80" s="3" t="str">
        <f>CONCATENATE(BOM[[#This Row],[Code Modèle]],BOM[[#This Row],[Code Dimensions]],"(",BOM[[#This Row],[Code Type De Finition]],")","-",BOM[[#This Row],[Code Nombre de couleur]])</f>
        <v>NDBI1020(FR)-C</v>
      </c>
      <c r="B80" s="4" t="s">
        <v>118</v>
      </c>
      <c r="C80" s="4" t="s">
        <v>119</v>
      </c>
      <c r="D80" s="4" t="s">
        <v>222</v>
      </c>
      <c r="E80" s="4" t="s">
        <v>223</v>
      </c>
      <c r="F80" s="4" t="s">
        <v>43</v>
      </c>
      <c r="G80" s="7">
        <v>1020</v>
      </c>
      <c r="H80" s="4" t="s">
        <v>251</v>
      </c>
      <c r="I80" s="4" t="s">
        <v>250</v>
      </c>
      <c r="J80" s="4">
        <v>1</v>
      </c>
      <c r="K80" s="4" t="s">
        <v>231</v>
      </c>
      <c r="L80" s="4" t="s">
        <v>42</v>
      </c>
      <c r="M80" s="4">
        <v>100</v>
      </c>
      <c r="N80" s="4">
        <v>240</v>
      </c>
      <c r="O80" s="4" t="s">
        <v>72</v>
      </c>
      <c r="P80" s="4" t="s">
        <v>73</v>
      </c>
      <c r="Q80" s="4" t="s">
        <v>46</v>
      </c>
      <c r="R80" s="4" t="s">
        <v>241</v>
      </c>
      <c r="S80" s="4">
        <v>10.4</v>
      </c>
      <c r="T80" s="4">
        <f>BOM[[#This Row],[Longueur Tissage]]*BOM[[#This Row],[Duite Par Cm]]</f>
        <v>2496</v>
      </c>
      <c r="U80" s="9">
        <v>7.0000000000000007E-2</v>
      </c>
      <c r="V80" s="9">
        <v>7.0000000000000007E-2</v>
      </c>
      <c r="W80" s="9">
        <v>7.0000000000000007E-2</v>
      </c>
      <c r="X80" s="9">
        <v>7.0000000000000007E-2</v>
      </c>
      <c r="Y80" s="9">
        <v>7.0000000000000007E-2</v>
      </c>
      <c r="Z80" s="9">
        <v>0</v>
      </c>
      <c r="AA80" s="9">
        <v>0</v>
      </c>
      <c r="AB80" s="9">
        <v>0</v>
      </c>
    </row>
    <row r="81" spans="1:28" x14ac:dyDescent="0.25">
      <c r="A81" s="3" t="str">
        <f>CONCATENATE(BOM[[#This Row],[Code Modèle]],BOM[[#This Row],[Code Dimensions]],"(",BOM[[#This Row],[Code Type De Finition]],")","-",BOM[[#This Row],[Code Nombre de couleur]])</f>
        <v>NDBI2020(FR)-C</v>
      </c>
      <c r="B81" s="4" t="s">
        <v>118</v>
      </c>
      <c r="C81" s="4" t="s">
        <v>119</v>
      </c>
      <c r="D81" s="4" t="s">
        <v>222</v>
      </c>
      <c r="E81" s="4" t="s">
        <v>223</v>
      </c>
      <c r="F81" s="4" t="s">
        <v>50</v>
      </c>
      <c r="G81" s="7">
        <v>2020</v>
      </c>
      <c r="H81" s="4" t="s">
        <v>251</v>
      </c>
      <c r="I81" s="4" t="s">
        <v>250</v>
      </c>
      <c r="J81" s="4">
        <v>1</v>
      </c>
      <c r="K81" s="4" t="s">
        <v>231</v>
      </c>
      <c r="L81" s="4" t="s">
        <v>42</v>
      </c>
      <c r="M81" s="4">
        <v>200</v>
      </c>
      <c r="N81" s="4">
        <v>240</v>
      </c>
      <c r="O81" s="4" t="s">
        <v>72</v>
      </c>
      <c r="P81" s="4" t="s">
        <v>73</v>
      </c>
      <c r="Q81" s="4" t="s">
        <v>46</v>
      </c>
      <c r="R81" s="4" t="s">
        <v>241</v>
      </c>
      <c r="S81" s="4">
        <v>10.4</v>
      </c>
      <c r="T81" s="4">
        <f>BOM[[#This Row],[Longueur Tissage]]*BOM[[#This Row],[Duite Par Cm]]</f>
        <v>2496</v>
      </c>
      <c r="U81" s="9">
        <v>0.14000000000000001</v>
      </c>
      <c r="V81" s="9">
        <v>0.14000000000000001</v>
      </c>
      <c r="W81" s="9">
        <v>0.14000000000000001</v>
      </c>
      <c r="X81" s="9">
        <v>0.14000000000000001</v>
      </c>
      <c r="Y81" s="9">
        <v>0.14000000000000001</v>
      </c>
      <c r="Z81" s="9">
        <v>0</v>
      </c>
      <c r="AA81" s="9">
        <v>0</v>
      </c>
      <c r="AB81" s="9">
        <v>0</v>
      </c>
    </row>
    <row r="82" spans="1:28" x14ac:dyDescent="0.25">
      <c r="A82" s="3" t="str">
        <f>CONCATENATE(BOM[[#This Row],[Code Modèle]],BOM[[#This Row],[Code Dimensions]],"(",BOM[[#This Row],[Code Type De Finition]],")","-",BOM[[#This Row],[Code Nombre de couleur]])</f>
        <v>NDFI1020(FR)-C</v>
      </c>
      <c r="B82" s="4" t="s">
        <v>120</v>
      </c>
      <c r="C82" s="4" t="s">
        <v>121</v>
      </c>
      <c r="D82" s="4" t="s">
        <v>222</v>
      </c>
      <c r="E82" s="4" t="s">
        <v>223</v>
      </c>
      <c r="F82" s="4" t="s">
        <v>43</v>
      </c>
      <c r="G82" s="7">
        <v>1020</v>
      </c>
      <c r="H82" s="4" t="s">
        <v>251</v>
      </c>
      <c r="I82" s="4" t="s">
        <v>250</v>
      </c>
      <c r="J82" s="4">
        <v>1</v>
      </c>
      <c r="K82" s="4" t="s">
        <v>231</v>
      </c>
      <c r="L82" s="4" t="s">
        <v>42</v>
      </c>
      <c r="M82" s="4">
        <v>100</v>
      </c>
      <c r="N82" s="4">
        <v>240</v>
      </c>
      <c r="O82" s="4" t="s">
        <v>72</v>
      </c>
      <c r="P82" s="4" t="s">
        <v>73</v>
      </c>
      <c r="Q82" s="4" t="s">
        <v>46</v>
      </c>
      <c r="R82" s="4" t="s">
        <v>241</v>
      </c>
      <c r="S82" s="4">
        <v>10.8</v>
      </c>
      <c r="T82" s="4">
        <f>BOM[[#This Row],[Longueur Tissage]]*BOM[[#This Row],[Duite Par Cm]]</f>
        <v>2592</v>
      </c>
      <c r="U82" s="9">
        <v>6.5000000000000002E-2</v>
      </c>
      <c r="V82" s="9">
        <v>6.5000000000000002E-2</v>
      </c>
      <c r="W82" s="9">
        <v>6.5000000000000002E-2</v>
      </c>
      <c r="X82" s="9">
        <v>6.5000000000000002E-2</v>
      </c>
      <c r="Y82" s="9">
        <v>6.5000000000000002E-2</v>
      </c>
      <c r="Z82" s="8">
        <v>0</v>
      </c>
      <c r="AA82" s="8">
        <v>0</v>
      </c>
      <c r="AB82" s="8">
        <v>0</v>
      </c>
    </row>
    <row r="83" spans="1:28" x14ac:dyDescent="0.25">
      <c r="A83" s="3" t="str">
        <f>CONCATENATE(BOM[[#This Row],[Code Modèle]],BOM[[#This Row],[Code Dimensions]],"(",BOM[[#This Row],[Code Type De Finition]],")","-",BOM[[#This Row],[Code Nombre de couleur]])</f>
        <v>NDFI2020(FR)-C</v>
      </c>
      <c r="B83" s="4" t="s">
        <v>120</v>
      </c>
      <c r="C83" s="4" t="s">
        <v>121</v>
      </c>
      <c r="D83" s="4" t="s">
        <v>222</v>
      </c>
      <c r="E83" s="4" t="s">
        <v>223</v>
      </c>
      <c r="F83" s="4" t="s">
        <v>50</v>
      </c>
      <c r="G83" s="7">
        <v>2020</v>
      </c>
      <c r="H83" s="4" t="s">
        <v>251</v>
      </c>
      <c r="I83" s="4" t="s">
        <v>250</v>
      </c>
      <c r="J83" s="4">
        <v>1</v>
      </c>
      <c r="K83" s="4" t="s">
        <v>231</v>
      </c>
      <c r="L83" s="4" t="s">
        <v>42</v>
      </c>
      <c r="M83" s="4">
        <v>200</v>
      </c>
      <c r="N83" s="4">
        <v>240</v>
      </c>
      <c r="O83" s="4" t="s">
        <v>72</v>
      </c>
      <c r="P83" s="4" t="s">
        <v>73</v>
      </c>
      <c r="Q83" s="4" t="s">
        <v>46</v>
      </c>
      <c r="R83" s="4" t="s">
        <v>241</v>
      </c>
      <c r="S83" s="4">
        <v>10.8</v>
      </c>
      <c r="T83" s="4">
        <f>BOM[[#This Row],[Longueur Tissage]]*BOM[[#This Row],[Duite Par Cm]]</f>
        <v>2592</v>
      </c>
      <c r="U83" s="9">
        <v>0.13</v>
      </c>
      <c r="V83" s="9">
        <v>0.13</v>
      </c>
      <c r="W83" s="9">
        <v>0.13</v>
      </c>
      <c r="X83" s="9">
        <v>0.13</v>
      </c>
      <c r="Y83" s="9">
        <v>0.13</v>
      </c>
      <c r="Z83" s="8">
        <v>0</v>
      </c>
      <c r="AA83" s="8">
        <v>0</v>
      </c>
      <c r="AB83" s="8">
        <v>0</v>
      </c>
    </row>
    <row r="84" spans="1:28" x14ac:dyDescent="0.25">
      <c r="A84" s="3" t="str">
        <f>CONCATENATE(BOM[[#This Row],[Code Modèle]],BOM[[#This Row],[Code Dimensions]],"(",BOM[[#This Row],[Code Type De Finition]],")","-",BOM[[#This Row],[Code Nombre de couleur]])</f>
        <v>NDFL1020(FR)-B</v>
      </c>
      <c r="B84" s="4" t="s">
        <v>122</v>
      </c>
      <c r="C84" s="4" t="s">
        <v>123</v>
      </c>
      <c r="D84" s="4" t="s">
        <v>222</v>
      </c>
      <c r="E84" s="4" t="s">
        <v>223</v>
      </c>
      <c r="F84" s="4" t="s">
        <v>43</v>
      </c>
      <c r="G84" s="7">
        <v>1020</v>
      </c>
      <c r="H84" s="4" t="s">
        <v>251</v>
      </c>
      <c r="I84" s="4" t="s">
        <v>250</v>
      </c>
      <c r="J84" s="4">
        <v>1</v>
      </c>
      <c r="K84" s="4" t="s">
        <v>231</v>
      </c>
      <c r="L84" s="4" t="s">
        <v>42</v>
      </c>
      <c r="M84" s="4">
        <v>100</v>
      </c>
      <c r="N84" s="4">
        <v>240</v>
      </c>
      <c r="O84" s="4" t="s">
        <v>44</v>
      </c>
      <c r="P84" s="4" t="s">
        <v>45</v>
      </c>
      <c r="Q84" s="4" t="s">
        <v>46</v>
      </c>
      <c r="R84" s="4" t="s">
        <v>241</v>
      </c>
      <c r="S84" s="4">
        <v>10.4</v>
      </c>
      <c r="T84" s="4">
        <f>BOM[[#This Row],[Longueur Tissage]]*BOM[[#This Row],[Duite Par Cm]]</f>
        <v>2496</v>
      </c>
      <c r="U84" s="9">
        <v>0.24</v>
      </c>
      <c r="V84" s="9">
        <v>0.08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</row>
    <row r="85" spans="1:28" x14ac:dyDescent="0.25">
      <c r="A85" s="3" t="str">
        <f>CONCATENATE(BOM[[#This Row],[Code Modèle]],BOM[[#This Row],[Code Dimensions]],"(",BOM[[#This Row],[Code Type De Finition]],")","-",BOM[[#This Row],[Code Nombre de couleur]])</f>
        <v>NDFL2020(FR)-B</v>
      </c>
      <c r="B85" s="4" t="s">
        <v>122</v>
      </c>
      <c r="C85" s="4" t="s">
        <v>123</v>
      </c>
      <c r="D85" s="4" t="s">
        <v>222</v>
      </c>
      <c r="E85" s="4" t="s">
        <v>223</v>
      </c>
      <c r="F85" s="4" t="s">
        <v>50</v>
      </c>
      <c r="G85" s="7">
        <v>2020</v>
      </c>
      <c r="H85" s="4" t="s">
        <v>251</v>
      </c>
      <c r="I85" s="4" t="s">
        <v>250</v>
      </c>
      <c r="J85" s="4">
        <v>1</v>
      </c>
      <c r="K85" s="4" t="s">
        <v>231</v>
      </c>
      <c r="L85" s="4" t="s">
        <v>42</v>
      </c>
      <c r="M85" s="4">
        <v>200</v>
      </c>
      <c r="N85" s="4">
        <v>240</v>
      </c>
      <c r="O85" s="4" t="s">
        <v>44</v>
      </c>
      <c r="P85" s="4" t="s">
        <v>45</v>
      </c>
      <c r="Q85" s="4" t="s">
        <v>46</v>
      </c>
      <c r="R85" s="4" t="s">
        <v>241</v>
      </c>
      <c r="S85" s="4">
        <v>10.4</v>
      </c>
      <c r="T85" s="4">
        <f>BOM[[#This Row],[Longueur Tissage]]*BOM[[#This Row],[Duite Par Cm]]</f>
        <v>2496</v>
      </c>
      <c r="U85" s="9">
        <v>0.6</v>
      </c>
      <c r="V85" s="9">
        <v>0.2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</row>
    <row r="86" spans="1:28" x14ac:dyDescent="0.25">
      <c r="A86" s="3" t="str">
        <f>CONCATENATE(BOM[[#This Row],[Code Modèle]],BOM[[#This Row],[Code Dimensions]],"(",BOM[[#This Row],[Code Type De Finition]],")","-",BOM[[#This Row],[Code Nombre de couleur]])</f>
        <v>NDF1020(FR)-T</v>
      </c>
      <c r="B86" s="4" t="s">
        <v>124</v>
      </c>
      <c r="C86" s="4" t="s">
        <v>125</v>
      </c>
      <c r="D86" s="4" t="s">
        <v>222</v>
      </c>
      <c r="E86" s="4" t="s">
        <v>223</v>
      </c>
      <c r="F86" s="4" t="s">
        <v>43</v>
      </c>
      <c r="G86" s="7">
        <v>1020</v>
      </c>
      <c r="H86" s="4" t="s">
        <v>251</v>
      </c>
      <c r="I86" s="4" t="s">
        <v>250</v>
      </c>
      <c r="J86" s="4">
        <v>1</v>
      </c>
      <c r="K86" s="4" t="s">
        <v>231</v>
      </c>
      <c r="L86" s="4" t="s">
        <v>42</v>
      </c>
      <c r="M86" s="4">
        <v>100</v>
      </c>
      <c r="N86" s="4">
        <v>240</v>
      </c>
      <c r="O86" s="4" t="s">
        <v>47</v>
      </c>
      <c r="P86" s="4" t="s">
        <v>48</v>
      </c>
      <c r="Q86" s="4" t="s">
        <v>46</v>
      </c>
      <c r="R86" s="4" t="s">
        <v>241</v>
      </c>
      <c r="S86" s="4">
        <v>10.4</v>
      </c>
      <c r="T86" s="4">
        <f>BOM[[#This Row],[Longueur Tissage]]*BOM[[#This Row],[Duite Par Cm]]</f>
        <v>2496</v>
      </c>
      <c r="U86" s="9">
        <v>0.3</v>
      </c>
      <c r="V86" s="9">
        <v>0.05</v>
      </c>
      <c r="W86" s="9">
        <v>7.0000000000000007E-2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</row>
    <row r="87" spans="1:28" x14ac:dyDescent="0.25">
      <c r="A87" s="3" t="str">
        <f>CONCATENATE(BOM[[#This Row],[Code Modèle]],BOM[[#This Row],[Code Dimensions]],"(",BOM[[#This Row],[Code Type De Finition]],")","-",BOM[[#This Row],[Code Nombre de couleur]])</f>
        <v>NDF2020(FR)-T</v>
      </c>
      <c r="B87" s="4" t="s">
        <v>124</v>
      </c>
      <c r="C87" s="4" t="s">
        <v>125</v>
      </c>
      <c r="D87" s="4" t="s">
        <v>222</v>
      </c>
      <c r="E87" s="4" t="s">
        <v>223</v>
      </c>
      <c r="F87" s="4" t="s">
        <v>50</v>
      </c>
      <c r="G87" s="7">
        <v>2020</v>
      </c>
      <c r="H87" s="4" t="s">
        <v>251</v>
      </c>
      <c r="I87" s="4" t="s">
        <v>250</v>
      </c>
      <c r="J87" s="4">
        <v>1</v>
      </c>
      <c r="K87" s="4" t="s">
        <v>231</v>
      </c>
      <c r="L87" s="4" t="s">
        <v>42</v>
      </c>
      <c r="M87" s="4">
        <v>200</v>
      </c>
      <c r="N87" s="4">
        <v>240</v>
      </c>
      <c r="O87" s="4" t="s">
        <v>47</v>
      </c>
      <c r="P87" s="4" t="s">
        <v>48</v>
      </c>
      <c r="Q87" s="4" t="s">
        <v>46</v>
      </c>
      <c r="R87" s="4" t="s">
        <v>241</v>
      </c>
      <c r="S87" s="4">
        <v>10.4</v>
      </c>
      <c r="T87" s="4">
        <f>BOM[[#This Row],[Longueur Tissage]]*BOM[[#This Row],[Duite Par Cm]]</f>
        <v>2496</v>
      </c>
      <c r="U87" s="9">
        <v>0.5</v>
      </c>
      <c r="V87" s="9">
        <v>0.1</v>
      </c>
      <c r="W87" s="9">
        <v>0.14000000000000001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</row>
    <row r="88" spans="1:28" x14ac:dyDescent="0.25">
      <c r="A88" s="3" t="str">
        <f>CONCATENATE(BOM[[#This Row],[Code Modèle]],BOM[[#This Row],[Code Dimensions]],"(",BOM[[#This Row],[Code Type De Finition]],")","-",BOM[[#This Row],[Code Nombre de couleur]])</f>
        <v>NDH1020(FR)-C</v>
      </c>
      <c r="B88" s="4" t="s">
        <v>126</v>
      </c>
      <c r="C88" s="4" t="s">
        <v>127</v>
      </c>
      <c r="D88" s="4" t="s">
        <v>222</v>
      </c>
      <c r="E88" s="4" t="s">
        <v>223</v>
      </c>
      <c r="F88" s="4" t="s">
        <v>43</v>
      </c>
      <c r="G88" s="7">
        <v>1020</v>
      </c>
      <c r="H88" s="4" t="s">
        <v>251</v>
      </c>
      <c r="I88" s="4" t="s">
        <v>250</v>
      </c>
      <c r="J88" s="4">
        <v>1</v>
      </c>
      <c r="K88" s="4" t="s">
        <v>231</v>
      </c>
      <c r="L88" s="4" t="s">
        <v>42</v>
      </c>
      <c r="M88" s="4">
        <v>100</v>
      </c>
      <c r="N88" s="4">
        <v>240</v>
      </c>
      <c r="O88" s="4" t="s">
        <v>72</v>
      </c>
      <c r="P88" s="4" t="s">
        <v>73</v>
      </c>
      <c r="Q88" s="4" t="s">
        <v>46</v>
      </c>
      <c r="R88" s="4" t="s">
        <v>241</v>
      </c>
      <c r="S88" s="4">
        <v>10.4</v>
      </c>
      <c r="T88" s="4">
        <f>BOM[[#This Row],[Longueur Tissage]]*BOM[[#This Row],[Duite Par Cm]]</f>
        <v>2496</v>
      </c>
      <c r="U88" s="8">
        <v>0.1</v>
      </c>
      <c r="V88" s="8">
        <v>0.1</v>
      </c>
      <c r="W88" s="8">
        <v>0.1</v>
      </c>
      <c r="X88" s="8">
        <v>0.04</v>
      </c>
      <c r="Y88" s="8">
        <v>0.04</v>
      </c>
      <c r="Z88" s="8">
        <v>0</v>
      </c>
      <c r="AA88" s="8">
        <v>0</v>
      </c>
      <c r="AB88" s="8">
        <v>0</v>
      </c>
    </row>
    <row r="89" spans="1:28" x14ac:dyDescent="0.25">
      <c r="A89" s="3" t="str">
        <f>CONCATENATE(BOM[[#This Row],[Code Modèle]],BOM[[#This Row],[Code Dimensions]],"(",BOM[[#This Row],[Code Type De Finition]],")","-",BOM[[#This Row],[Code Nombre de couleur]])</f>
        <v>NDH2020(FR)-C</v>
      </c>
      <c r="B89" s="4" t="s">
        <v>126</v>
      </c>
      <c r="C89" s="4" t="s">
        <v>127</v>
      </c>
      <c r="D89" s="4" t="s">
        <v>222</v>
      </c>
      <c r="E89" s="4" t="s">
        <v>223</v>
      </c>
      <c r="F89" s="4" t="s">
        <v>50</v>
      </c>
      <c r="G89" s="7">
        <v>2020</v>
      </c>
      <c r="H89" s="4" t="s">
        <v>251</v>
      </c>
      <c r="I89" s="4" t="s">
        <v>250</v>
      </c>
      <c r="J89" s="4">
        <v>1</v>
      </c>
      <c r="K89" s="4" t="s">
        <v>231</v>
      </c>
      <c r="L89" s="4" t="s">
        <v>42</v>
      </c>
      <c r="M89" s="4">
        <v>200</v>
      </c>
      <c r="N89" s="4">
        <v>240</v>
      </c>
      <c r="O89" s="4" t="s">
        <v>72</v>
      </c>
      <c r="P89" s="4" t="s">
        <v>73</v>
      </c>
      <c r="Q89" s="4" t="s">
        <v>46</v>
      </c>
      <c r="R89" s="4" t="s">
        <v>241</v>
      </c>
      <c r="S89" s="4">
        <v>10.4</v>
      </c>
      <c r="T89" s="4">
        <f>BOM[[#This Row],[Longueur Tissage]]*BOM[[#This Row],[Duite Par Cm]]</f>
        <v>2496</v>
      </c>
      <c r="U89" s="9">
        <v>0.2</v>
      </c>
      <c r="V89" s="9">
        <v>0.2</v>
      </c>
      <c r="W89" s="9">
        <v>0.2</v>
      </c>
      <c r="X89" s="9">
        <v>0.08</v>
      </c>
      <c r="Y89" s="9">
        <v>0.08</v>
      </c>
      <c r="Z89" s="9">
        <v>0</v>
      </c>
      <c r="AA89" s="9">
        <v>0</v>
      </c>
      <c r="AB89" s="9">
        <v>0</v>
      </c>
    </row>
    <row r="90" spans="1:28" x14ac:dyDescent="0.25">
      <c r="A90" s="3" t="str">
        <f>CONCATENATE(BOM[[#This Row],[Code Modèle]],BOM[[#This Row],[Code Dimensions]],"(",BOM[[#This Row],[Code Type De Finition]],")","-",BOM[[#This Row],[Code Nombre de couleur]])</f>
        <v>NDLO1020(FR)-B</v>
      </c>
      <c r="B90" s="4" t="s">
        <v>128</v>
      </c>
      <c r="C90" s="4" t="s">
        <v>129</v>
      </c>
      <c r="D90" s="4" t="s">
        <v>222</v>
      </c>
      <c r="E90" s="4" t="s">
        <v>223</v>
      </c>
      <c r="F90" s="4" t="s">
        <v>43</v>
      </c>
      <c r="G90" s="7">
        <v>1020</v>
      </c>
      <c r="H90" s="4" t="s">
        <v>251</v>
      </c>
      <c r="I90" s="4" t="s">
        <v>250</v>
      </c>
      <c r="J90" s="4">
        <v>1</v>
      </c>
      <c r="K90" s="4" t="s">
        <v>231</v>
      </c>
      <c r="L90" s="4" t="s">
        <v>42</v>
      </c>
      <c r="M90" s="4">
        <v>100</v>
      </c>
      <c r="N90" s="4">
        <v>240</v>
      </c>
      <c r="O90" s="4" t="s">
        <v>44</v>
      </c>
      <c r="P90" s="4" t="s">
        <v>45</v>
      </c>
      <c r="Q90" s="4" t="s">
        <v>46</v>
      </c>
      <c r="R90" s="4" t="s">
        <v>241</v>
      </c>
      <c r="S90" s="4">
        <v>10.8</v>
      </c>
      <c r="T90" s="4">
        <f>BOM[[#This Row],[Longueur Tissage]]*BOM[[#This Row],[Duite Par Cm]]</f>
        <v>2592</v>
      </c>
      <c r="U90" s="9">
        <v>0.12</v>
      </c>
      <c r="V90" s="9">
        <v>0.28000000000000003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</row>
    <row r="91" spans="1:28" x14ac:dyDescent="0.25">
      <c r="A91" s="3" t="str">
        <f>CONCATENATE(BOM[[#This Row],[Code Modèle]],BOM[[#This Row],[Code Dimensions]],"(",BOM[[#This Row],[Code Type De Finition]],")","-",BOM[[#This Row],[Code Nombre de couleur]])</f>
        <v>NDLO2020(FR)-B</v>
      </c>
      <c r="B91" s="4" t="s">
        <v>128</v>
      </c>
      <c r="C91" s="4" t="s">
        <v>129</v>
      </c>
      <c r="D91" s="4" t="s">
        <v>222</v>
      </c>
      <c r="E91" s="4" t="s">
        <v>223</v>
      </c>
      <c r="F91" s="4" t="s">
        <v>50</v>
      </c>
      <c r="G91" s="7">
        <v>2020</v>
      </c>
      <c r="H91" s="4" t="s">
        <v>251</v>
      </c>
      <c r="I91" s="4" t="s">
        <v>250</v>
      </c>
      <c r="J91" s="4">
        <v>1</v>
      </c>
      <c r="K91" s="4" t="s">
        <v>231</v>
      </c>
      <c r="L91" s="4" t="s">
        <v>42</v>
      </c>
      <c r="M91" s="4">
        <v>200</v>
      </c>
      <c r="N91" s="4">
        <v>240</v>
      </c>
      <c r="O91" s="4" t="s">
        <v>44</v>
      </c>
      <c r="P91" s="4" t="s">
        <v>45</v>
      </c>
      <c r="Q91" s="4" t="s">
        <v>46</v>
      </c>
      <c r="R91" s="4" t="s">
        <v>241</v>
      </c>
      <c r="S91" s="4">
        <v>10.8</v>
      </c>
      <c r="T91" s="4">
        <f>BOM[[#This Row],[Longueur Tissage]]*BOM[[#This Row],[Duite Par Cm]]</f>
        <v>2592</v>
      </c>
      <c r="U91" s="9">
        <v>0.24</v>
      </c>
      <c r="V91" s="9">
        <v>0.54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</row>
    <row r="92" spans="1:28" x14ac:dyDescent="0.25">
      <c r="A92" s="3" t="str">
        <f>CONCATENATE(BOM[[#This Row],[Code Modèle]],BOM[[#This Row],[Code Dimensions]],"(",BOM[[#This Row],[Code Type De Finition]],")","-",BOM[[#This Row],[Code Nombre de couleur]])</f>
        <v>NDMA1020(FR)-B</v>
      </c>
      <c r="B92" s="4" t="s">
        <v>130</v>
      </c>
      <c r="C92" s="4" t="s">
        <v>131</v>
      </c>
      <c r="D92" s="4" t="s">
        <v>222</v>
      </c>
      <c r="E92" s="4" t="s">
        <v>223</v>
      </c>
      <c r="F92" s="4" t="s">
        <v>43</v>
      </c>
      <c r="G92" s="7">
        <v>1020</v>
      </c>
      <c r="H92" s="4" t="s">
        <v>251</v>
      </c>
      <c r="I92" s="4" t="s">
        <v>250</v>
      </c>
      <c r="J92" s="4">
        <v>1</v>
      </c>
      <c r="K92" s="4" t="s">
        <v>231</v>
      </c>
      <c r="L92" s="4" t="s">
        <v>42</v>
      </c>
      <c r="M92" s="4">
        <v>100</v>
      </c>
      <c r="N92" s="4">
        <v>240</v>
      </c>
      <c r="O92" s="4" t="s">
        <v>44</v>
      </c>
      <c r="P92" s="4" t="s">
        <v>45</v>
      </c>
      <c r="Q92" s="4" t="s">
        <v>46</v>
      </c>
      <c r="R92" s="4" t="s">
        <v>241</v>
      </c>
      <c r="S92" s="4">
        <v>10.4</v>
      </c>
      <c r="T92" s="4">
        <f>BOM[[#This Row],[Longueur Tissage]]*BOM[[#This Row],[Duite Par Cm]]</f>
        <v>2496</v>
      </c>
      <c r="U92" s="9">
        <v>0.15</v>
      </c>
      <c r="V92" s="9">
        <v>0.15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</row>
    <row r="93" spans="1:28" x14ac:dyDescent="0.25">
      <c r="A93" s="3" t="str">
        <f>CONCATENATE(BOM[[#This Row],[Code Modèle]],BOM[[#This Row],[Code Dimensions]],"(",BOM[[#This Row],[Code Type De Finition]],")","-",BOM[[#This Row],[Code Nombre de couleur]])</f>
        <v>NDU1020(FR)-U</v>
      </c>
      <c r="B93" s="4" t="s">
        <v>132</v>
      </c>
      <c r="C93" s="4" t="s">
        <v>133</v>
      </c>
      <c r="D93" s="4" t="s">
        <v>222</v>
      </c>
      <c r="E93" s="4" t="s">
        <v>223</v>
      </c>
      <c r="F93" s="4" t="s">
        <v>43</v>
      </c>
      <c r="G93" s="7">
        <v>1020</v>
      </c>
      <c r="H93" s="4" t="s">
        <v>251</v>
      </c>
      <c r="I93" s="4" t="s">
        <v>250</v>
      </c>
      <c r="J93" s="4">
        <v>1</v>
      </c>
      <c r="K93" s="4" t="s">
        <v>231</v>
      </c>
      <c r="L93" s="4" t="s">
        <v>42</v>
      </c>
      <c r="M93" s="4">
        <v>100</v>
      </c>
      <c r="N93" s="4">
        <v>240</v>
      </c>
      <c r="O93" s="4" t="s">
        <v>79</v>
      </c>
      <c r="P93" s="4" t="s">
        <v>80</v>
      </c>
      <c r="Q93" s="4" t="s">
        <v>46</v>
      </c>
      <c r="R93" s="4" t="s">
        <v>241</v>
      </c>
      <c r="S93" s="4">
        <v>10.8</v>
      </c>
      <c r="T93" s="4">
        <f>BOM[[#This Row],[Longueur Tissage]]*BOM[[#This Row],[Duite Par Cm]]</f>
        <v>2592</v>
      </c>
      <c r="U93" s="9">
        <v>0.35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</row>
    <row r="94" spans="1:28" x14ac:dyDescent="0.25">
      <c r="A94" s="3" t="str">
        <f>CONCATENATE(BOM[[#This Row],[Code Modèle]],BOM[[#This Row],[Code Dimensions]],"(",BOM[[#This Row],[Code Type De Finition]],")","-",BOM[[#This Row],[Code Nombre de couleur]])</f>
        <v>NDU2020(FR)-U</v>
      </c>
      <c r="B94" s="4" t="s">
        <v>132</v>
      </c>
      <c r="C94" s="4" t="s">
        <v>133</v>
      </c>
      <c r="D94" s="4" t="s">
        <v>222</v>
      </c>
      <c r="E94" s="4" t="s">
        <v>223</v>
      </c>
      <c r="F94" s="4" t="s">
        <v>50</v>
      </c>
      <c r="G94" s="7">
        <v>2020</v>
      </c>
      <c r="H94" s="4" t="s">
        <v>251</v>
      </c>
      <c r="I94" s="4" t="s">
        <v>250</v>
      </c>
      <c r="J94" s="4">
        <v>1</v>
      </c>
      <c r="K94" s="4" t="s">
        <v>231</v>
      </c>
      <c r="L94" s="4" t="s">
        <v>42</v>
      </c>
      <c r="M94" s="4">
        <v>200</v>
      </c>
      <c r="N94" s="4">
        <v>240</v>
      </c>
      <c r="O94" s="4" t="s">
        <v>79</v>
      </c>
      <c r="P94" s="4" t="s">
        <v>80</v>
      </c>
      <c r="Q94" s="4" t="s">
        <v>46</v>
      </c>
      <c r="R94" s="4" t="s">
        <v>241</v>
      </c>
      <c r="S94" s="4">
        <v>10.8</v>
      </c>
      <c r="T94" s="4">
        <f>BOM[[#This Row],[Longueur Tissage]]*BOM[[#This Row],[Duite Par Cm]]</f>
        <v>2592</v>
      </c>
      <c r="U94" s="9">
        <v>0.7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</row>
    <row r="95" spans="1:28" x14ac:dyDescent="0.25">
      <c r="A95" s="3" t="str">
        <f>CONCATENATE(BOM[[#This Row],[Code Modèle]],BOM[[#This Row],[Code Dimensions]],"(",BOM[[#This Row],[Code Type De Finition]],")","-",BOM[[#This Row],[Code Nombre de couleur]])</f>
        <v>DEC2430(FR)-T</v>
      </c>
      <c r="B95" s="4" t="s">
        <v>134</v>
      </c>
      <c r="C95" s="4" t="s">
        <v>135</v>
      </c>
      <c r="D95" s="4" t="s">
        <v>224</v>
      </c>
      <c r="E95" s="4" t="s">
        <v>228</v>
      </c>
      <c r="F95" s="4" t="s">
        <v>136</v>
      </c>
      <c r="G95" s="7">
        <v>2430</v>
      </c>
      <c r="H95" s="4" t="s">
        <v>252</v>
      </c>
      <c r="I95" s="4" t="s">
        <v>250</v>
      </c>
      <c r="J95" s="4">
        <v>1</v>
      </c>
      <c r="K95" s="4" t="s">
        <v>236</v>
      </c>
      <c r="L95" s="4" t="s">
        <v>42</v>
      </c>
      <c r="M95" s="4">
        <v>240</v>
      </c>
      <c r="N95" s="4">
        <v>340</v>
      </c>
      <c r="O95" s="4" t="s">
        <v>47</v>
      </c>
      <c r="P95" s="4" t="s">
        <v>48</v>
      </c>
      <c r="Q95" s="4" t="s">
        <v>46</v>
      </c>
      <c r="R95" s="4" t="s">
        <v>241</v>
      </c>
      <c r="S95" s="4">
        <v>12</v>
      </c>
      <c r="T95" s="4">
        <f>BOM[[#This Row],[Longueur Tissage]]*BOM[[#This Row],[Duite Par Cm]]</f>
        <v>4080</v>
      </c>
      <c r="U95" s="8">
        <v>0.65</v>
      </c>
      <c r="V95" s="8">
        <v>0.56999999999999995</v>
      </c>
      <c r="W95" s="8">
        <v>0.06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</row>
    <row r="96" spans="1:28" x14ac:dyDescent="0.25">
      <c r="A96" s="3" t="str">
        <f>CONCATENATE(BOM[[#This Row],[Code Modèle]],BOM[[#This Row],[Code Dimensions]],"(",BOM[[#This Row],[Code Type De Finition]],")","-",BOM[[#This Row],[Code Nombre de couleur]])</f>
        <v>DEC1824(FR)-T</v>
      </c>
      <c r="B96" s="4" t="s">
        <v>134</v>
      </c>
      <c r="C96" s="4" t="s">
        <v>135</v>
      </c>
      <c r="D96" s="4" t="s">
        <v>224</v>
      </c>
      <c r="E96" s="4" t="s">
        <v>228</v>
      </c>
      <c r="F96" s="4" t="s">
        <v>78</v>
      </c>
      <c r="G96" s="7" t="s">
        <v>199</v>
      </c>
      <c r="H96" s="4" t="s">
        <v>252</v>
      </c>
      <c r="I96" s="4" t="s">
        <v>250</v>
      </c>
      <c r="J96" s="4">
        <v>1</v>
      </c>
      <c r="K96" s="4" t="s">
        <v>236</v>
      </c>
      <c r="L96" s="4" t="s">
        <v>42</v>
      </c>
      <c r="M96" s="4">
        <v>240</v>
      </c>
      <c r="N96" s="4">
        <v>340</v>
      </c>
      <c r="O96" s="4" t="s">
        <v>47</v>
      </c>
      <c r="P96" s="4" t="s">
        <v>48</v>
      </c>
      <c r="Q96" s="4" t="s">
        <v>46</v>
      </c>
      <c r="R96" s="4" t="s">
        <v>241</v>
      </c>
      <c r="S96" s="4">
        <v>12</v>
      </c>
      <c r="T96" s="4">
        <f>BOM[[#This Row],[Longueur Tissage]]*BOM[[#This Row],[Duite Par Cm]]</f>
        <v>4080</v>
      </c>
      <c r="U96" s="8">
        <v>0.45</v>
      </c>
      <c r="V96" s="8">
        <v>0.35</v>
      </c>
      <c r="W96" s="8">
        <v>0.04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</row>
    <row r="97" spans="1:28" x14ac:dyDescent="0.25">
      <c r="A97" s="3" t="str">
        <f>CONCATENATE(BOM[[#This Row],[Code Modèle]],BOM[[#This Row],[Code Dimensions]],"(",BOM[[#This Row],[Code Type De Finition]],")","-",BOM[[#This Row],[Code Nombre de couleur]])</f>
        <v>TBU0405(CO)-U</v>
      </c>
      <c r="B97" s="4" t="s">
        <v>137</v>
      </c>
      <c r="C97" s="4" t="s">
        <v>138</v>
      </c>
      <c r="D97" s="4" t="s">
        <v>221</v>
      </c>
      <c r="E97" s="4" t="s">
        <v>227</v>
      </c>
      <c r="F97" s="4" t="s">
        <v>139</v>
      </c>
      <c r="G97" s="7" t="s">
        <v>206</v>
      </c>
      <c r="H97" s="4" t="s">
        <v>255</v>
      </c>
      <c r="I97" s="4" t="s">
        <v>248</v>
      </c>
      <c r="J97" s="4">
        <v>2</v>
      </c>
      <c r="K97" s="4" t="s">
        <v>220</v>
      </c>
      <c r="L97" s="4" t="s">
        <v>215</v>
      </c>
      <c r="M97" s="4">
        <v>100</v>
      </c>
      <c r="N97" s="4">
        <v>65</v>
      </c>
      <c r="O97" s="4" t="s">
        <v>79</v>
      </c>
      <c r="P97" s="4" t="s">
        <v>80</v>
      </c>
      <c r="Q97" s="4" t="s">
        <v>46</v>
      </c>
      <c r="R97" s="4" t="s">
        <v>241</v>
      </c>
      <c r="S97" s="4">
        <v>12</v>
      </c>
      <c r="T97" s="4">
        <f>BOM[[#This Row],[Longueur Tissage]]*BOM[[#This Row],[Duite Par Cm]]</f>
        <v>780</v>
      </c>
      <c r="U97" s="8">
        <v>0.16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</row>
    <row r="98" spans="1:28" x14ac:dyDescent="0.25">
      <c r="A98" s="3" t="str">
        <f>CONCATENATE(BOM[[#This Row],[Code Modèle]],BOM[[#This Row],[Code Dimensions]],"(",BOM[[#This Row],[Code Type De Finition]],")","-",BOM[[#This Row],[Code Nombre de couleur]])</f>
        <v>POU0405(CO)-U</v>
      </c>
      <c r="B98" s="4" t="s">
        <v>140</v>
      </c>
      <c r="C98" s="4" t="s">
        <v>141</v>
      </c>
      <c r="D98" s="4" t="s">
        <v>221</v>
      </c>
      <c r="E98" s="4" t="s">
        <v>227</v>
      </c>
      <c r="F98" s="4" t="s">
        <v>139</v>
      </c>
      <c r="G98" s="7" t="s">
        <v>206</v>
      </c>
      <c r="H98" s="4" t="s">
        <v>260</v>
      </c>
      <c r="I98" s="4" t="s">
        <v>250</v>
      </c>
      <c r="J98" s="4">
        <v>1</v>
      </c>
      <c r="K98" s="4" t="s">
        <v>220</v>
      </c>
      <c r="L98" s="4" t="s">
        <v>215</v>
      </c>
      <c r="M98" s="4">
        <v>100</v>
      </c>
      <c r="N98" s="4">
        <v>65</v>
      </c>
      <c r="O98" s="4" t="s">
        <v>79</v>
      </c>
      <c r="P98" s="4" t="s">
        <v>80</v>
      </c>
      <c r="Q98" s="4" t="s">
        <v>46</v>
      </c>
      <c r="R98" s="4" t="s">
        <v>241</v>
      </c>
      <c r="S98" s="4">
        <v>12</v>
      </c>
      <c r="T98" s="4">
        <f>BOM[[#This Row],[Longueur Tissage]]*BOM[[#This Row],[Duite Par Cm]]</f>
        <v>780</v>
      </c>
      <c r="U98" s="8">
        <v>0.08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</row>
    <row r="99" spans="1:28" x14ac:dyDescent="0.25">
      <c r="A99" s="3" t="str">
        <f>CONCATENATE(BOM[[#This Row],[Code Modèle]],BOM[[#This Row],[Code Dimensions]],"(",BOM[[#This Row],[Code Type De Finition]],")","-",BOM[[#This Row],[Code Nombre de couleur]])</f>
        <v>SF0405(CO)-U</v>
      </c>
      <c r="B99" s="4" t="s">
        <v>142</v>
      </c>
      <c r="C99" s="4" t="s">
        <v>143</v>
      </c>
      <c r="D99" s="4" t="s">
        <v>221</v>
      </c>
      <c r="E99" s="4" t="s">
        <v>227</v>
      </c>
      <c r="F99" s="4" t="s">
        <v>139</v>
      </c>
      <c r="G99" s="7" t="s">
        <v>206</v>
      </c>
      <c r="H99" s="4" t="s">
        <v>261</v>
      </c>
      <c r="I99" s="4" t="s">
        <v>248</v>
      </c>
      <c r="J99" s="4">
        <v>2</v>
      </c>
      <c r="K99" s="4" t="s">
        <v>220</v>
      </c>
      <c r="L99" s="4" t="s">
        <v>215</v>
      </c>
      <c r="M99" s="4">
        <v>100</v>
      </c>
      <c r="N99" s="4">
        <v>65</v>
      </c>
      <c r="O99" s="4" t="s">
        <v>79</v>
      </c>
      <c r="P99" s="4" t="s">
        <v>80</v>
      </c>
      <c r="Q99" s="4" t="s">
        <v>46</v>
      </c>
      <c r="R99" s="4" t="s">
        <v>241</v>
      </c>
      <c r="S99" s="4">
        <v>11</v>
      </c>
      <c r="T99" s="4">
        <f>BOM[[#This Row],[Longueur Tissage]]*BOM[[#This Row],[Duite Par Cm]]</f>
        <v>715</v>
      </c>
      <c r="U99" s="9">
        <v>0.16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</row>
    <row r="100" spans="1:28" x14ac:dyDescent="0.25">
      <c r="A100" s="3" t="str">
        <f>CONCATENATE(BOM[[#This Row],[Code Modèle]],BOM[[#This Row],[Code Dimensions]],"(",BOM[[#This Row],[Code Type De Finition]],")","-",BOM[[#This Row],[Code Nombre de couleur]])</f>
        <v>SF0405(CO)-B</v>
      </c>
      <c r="B100" s="4" t="s">
        <v>142</v>
      </c>
      <c r="C100" s="4" t="s">
        <v>143</v>
      </c>
      <c r="D100" s="4" t="s">
        <v>221</v>
      </c>
      <c r="E100" s="4" t="s">
        <v>227</v>
      </c>
      <c r="F100" s="4" t="s">
        <v>139</v>
      </c>
      <c r="G100" s="7" t="s">
        <v>206</v>
      </c>
      <c r="H100" s="4" t="s">
        <v>261</v>
      </c>
      <c r="I100" s="4" t="s">
        <v>248</v>
      </c>
      <c r="J100" s="4">
        <v>2</v>
      </c>
      <c r="K100" s="4" t="s">
        <v>220</v>
      </c>
      <c r="L100" s="4" t="s">
        <v>215</v>
      </c>
      <c r="M100" s="4">
        <v>100</v>
      </c>
      <c r="N100" s="4">
        <v>65</v>
      </c>
      <c r="O100" s="4" t="s">
        <v>44</v>
      </c>
      <c r="P100" s="4" t="s">
        <v>45</v>
      </c>
      <c r="Q100" s="4" t="s">
        <v>46</v>
      </c>
      <c r="R100" s="4" t="s">
        <v>241</v>
      </c>
      <c r="S100" s="4">
        <v>12</v>
      </c>
      <c r="T100" s="4">
        <f>BOM[[#This Row],[Longueur Tissage]]*BOM[[#This Row],[Duite Par Cm]]</f>
        <v>780</v>
      </c>
      <c r="U100" s="9">
        <v>0.08</v>
      </c>
      <c r="V100" s="9">
        <v>0.08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</row>
    <row r="101" spans="1:28" x14ac:dyDescent="0.25">
      <c r="A101" s="3" t="str">
        <f>CONCATENATE(BOM[[#This Row],[Code Modèle]],BOM[[#This Row],[Code Dimensions]],"(",BOM[[#This Row],[Code Type De Finition]],")","-",BOM[[#This Row],[Code Nombre de couleur]])</f>
        <v>CS0103(CO)-B</v>
      </c>
      <c r="B101" s="4" t="s">
        <v>144</v>
      </c>
      <c r="C101" s="4" t="s">
        <v>145</v>
      </c>
      <c r="D101" s="4" t="s">
        <v>221</v>
      </c>
      <c r="E101" s="4" t="s">
        <v>227</v>
      </c>
      <c r="F101" s="4" t="s">
        <v>323</v>
      </c>
      <c r="G101" s="7" t="s">
        <v>213</v>
      </c>
      <c r="H101" s="4" t="s">
        <v>262</v>
      </c>
      <c r="I101" s="4" t="s">
        <v>248</v>
      </c>
      <c r="J101" s="4">
        <v>2</v>
      </c>
      <c r="K101" s="4" t="s">
        <v>220</v>
      </c>
      <c r="L101" s="4" t="s">
        <v>215</v>
      </c>
      <c r="M101" s="4">
        <v>100</v>
      </c>
      <c r="N101" s="4">
        <v>45</v>
      </c>
      <c r="O101" s="4" t="s">
        <v>44</v>
      </c>
      <c r="P101" s="4" t="s">
        <v>45</v>
      </c>
      <c r="Q101" s="4" t="s">
        <v>46</v>
      </c>
      <c r="R101" s="4" t="s">
        <v>241</v>
      </c>
      <c r="S101" s="4">
        <v>12</v>
      </c>
      <c r="T101" s="4">
        <f>BOM[[#This Row],[Longueur Tissage]]*BOM[[#This Row],[Duite Par Cm]]</f>
        <v>540</v>
      </c>
      <c r="U101" s="9">
        <v>0.08</v>
      </c>
      <c r="V101" s="9">
        <v>0.04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</row>
    <row r="102" spans="1:28" x14ac:dyDescent="0.25">
      <c r="A102" s="3" t="str">
        <f>CONCATENATE(BOM[[#This Row],[Code Modèle]],BOM[[#This Row],[Code Dimensions]],"(",BOM[[#This Row],[Code Type De Finition]],")","-",BOM[[#This Row],[Code Nombre de couleur]])</f>
        <v>DL1020(FR)-T</v>
      </c>
      <c r="B102" s="4" t="s">
        <v>146</v>
      </c>
      <c r="C102" s="4" t="s">
        <v>147</v>
      </c>
      <c r="D102" s="4" t="s">
        <v>221</v>
      </c>
      <c r="E102" s="4" t="s">
        <v>227</v>
      </c>
      <c r="F102" s="4" t="s">
        <v>43</v>
      </c>
      <c r="G102" s="7">
        <v>1020</v>
      </c>
      <c r="H102" s="4" t="s">
        <v>251</v>
      </c>
      <c r="I102" s="4" t="s">
        <v>250</v>
      </c>
      <c r="J102" s="4">
        <v>1</v>
      </c>
      <c r="K102" s="4" t="s">
        <v>231</v>
      </c>
      <c r="L102" s="4" t="s">
        <v>42</v>
      </c>
      <c r="M102" s="4">
        <v>100</v>
      </c>
      <c r="N102" s="4">
        <v>240</v>
      </c>
      <c r="O102" s="4" t="s">
        <v>44</v>
      </c>
      <c r="P102" s="4" t="s">
        <v>48</v>
      </c>
      <c r="Q102" s="4" t="s">
        <v>46</v>
      </c>
      <c r="R102" s="4" t="s">
        <v>241</v>
      </c>
      <c r="S102" s="4">
        <v>10.4</v>
      </c>
      <c r="T102" s="4">
        <f>BOM[[#This Row],[Longueur Tissage]]*BOM[[#This Row],[Duite Par Cm]]</f>
        <v>2496</v>
      </c>
      <c r="U102" s="9">
        <v>0.28000000000000003</v>
      </c>
      <c r="V102" s="9">
        <v>0.08</v>
      </c>
      <c r="W102" s="8">
        <v>0.02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</row>
    <row r="103" spans="1:28" x14ac:dyDescent="0.25">
      <c r="A103" s="3" t="str">
        <f>CONCATENATE(BOM[[#This Row],[Code Modèle]],BOM[[#This Row],[Code Dimensions]],"(",BOM[[#This Row],[Code Type De Finition]],")","-",BOM[[#This Row],[Code Nombre de couleur]])</f>
        <v>DL2020(FR)-T</v>
      </c>
      <c r="B103" s="4" t="s">
        <v>146</v>
      </c>
      <c r="C103" s="4" t="s">
        <v>147</v>
      </c>
      <c r="D103" s="4" t="s">
        <v>221</v>
      </c>
      <c r="E103" s="4" t="s">
        <v>227</v>
      </c>
      <c r="F103" s="4" t="s">
        <v>50</v>
      </c>
      <c r="G103" s="7">
        <v>2020</v>
      </c>
      <c r="H103" s="4" t="s">
        <v>251</v>
      </c>
      <c r="I103" s="4" t="s">
        <v>250</v>
      </c>
      <c r="J103" s="4">
        <v>1</v>
      </c>
      <c r="K103" s="4" t="s">
        <v>231</v>
      </c>
      <c r="L103" s="4" t="s">
        <v>42</v>
      </c>
      <c r="M103" s="4">
        <v>200</v>
      </c>
      <c r="N103" s="4">
        <v>240</v>
      </c>
      <c r="O103" s="4" t="s">
        <v>44</v>
      </c>
      <c r="P103" s="4" t="s">
        <v>48</v>
      </c>
      <c r="Q103" s="4" t="s">
        <v>46</v>
      </c>
      <c r="R103" s="4" t="s">
        <v>241</v>
      </c>
      <c r="S103" s="4">
        <v>10.4</v>
      </c>
      <c r="T103" s="4">
        <f>BOM[[#This Row],[Longueur Tissage]]*BOM[[#This Row],[Duite Par Cm]]</f>
        <v>2496</v>
      </c>
      <c r="U103" s="9">
        <v>0.56000000000000005</v>
      </c>
      <c r="V103" s="9">
        <v>0.16</v>
      </c>
      <c r="W103" s="8">
        <v>0.05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</row>
    <row r="104" spans="1:28" x14ac:dyDescent="0.25">
      <c r="A104" s="3" t="str">
        <f>CONCATENATE(BOM[[#This Row],[Code Modèle]],BOM[[#This Row],[Code Dimensions]],"(",BOM[[#This Row],[Code Type De Finition]],")","-",BOM[[#This Row],[Code Nombre de couleur]])</f>
        <v>FAF1824(FR)-B</v>
      </c>
      <c r="B104" s="4" t="s">
        <v>148</v>
      </c>
      <c r="C104" s="4" t="s">
        <v>149</v>
      </c>
      <c r="D104" s="4" t="s">
        <v>221</v>
      </c>
      <c r="E104" s="4" t="s">
        <v>227</v>
      </c>
      <c r="F104" s="4" t="s">
        <v>78</v>
      </c>
      <c r="G104" s="7" t="s">
        <v>199</v>
      </c>
      <c r="H104" s="4" t="s">
        <v>252</v>
      </c>
      <c r="I104" s="4" t="s">
        <v>250</v>
      </c>
      <c r="J104" s="4">
        <v>1</v>
      </c>
      <c r="K104" s="4" t="s">
        <v>231</v>
      </c>
      <c r="L104" s="4" t="s">
        <v>42</v>
      </c>
      <c r="M104" s="4">
        <v>180</v>
      </c>
      <c r="N104" s="4">
        <v>280</v>
      </c>
      <c r="O104" s="4" t="s">
        <v>44</v>
      </c>
      <c r="P104" s="4" t="s">
        <v>45</v>
      </c>
      <c r="Q104" s="4" t="s">
        <v>46</v>
      </c>
      <c r="R104" s="4" t="s">
        <v>241</v>
      </c>
      <c r="S104" s="4">
        <v>11</v>
      </c>
      <c r="T104" s="4">
        <f>BOM[[#This Row],[Longueur Tissage]]*BOM[[#This Row],[Duite Par Cm]]</f>
        <v>3080</v>
      </c>
      <c r="U104" s="9">
        <v>0.38</v>
      </c>
      <c r="V104" s="9">
        <v>0.35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</row>
    <row r="105" spans="1:28" x14ac:dyDescent="0.25">
      <c r="A105" s="3" t="str">
        <f>CONCATENATE(BOM[[#This Row],[Code Modèle]],BOM[[#This Row],[Code Dimensions]],"(",BOM[[#This Row],[Code Type De Finition]],")","-",BOM[[#This Row],[Code Nombre de couleur]])</f>
        <v>FAF2426(FR)-B</v>
      </c>
      <c r="B105" s="4" t="s">
        <v>148</v>
      </c>
      <c r="C105" s="4" t="s">
        <v>149</v>
      </c>
      <c r="D105" s="4" t="s">
        <v>221</v>
      </c>
      <c r="E105" s="4" t="s">
        <v>227</v>
      </c>
      <c r="F105" s="4" t="s">
        <v>52</v>
      </c>
      <c r="G105" s="7">
        <v>2426</v>
      </c>
      <c r="H105" s="4" t="s">
        <v>252</v>
      </c>
      <c r="I105" s="4" t="s">
        <v>250</v>
      </c>
      <c r="J105" s="4">
        <v>1</v>
      </c>
      <c r="K105" s="4" t="s">
        <v>231</v>
      </c>
      <c r="L105" s="4" t="s">
        <v>42</v>
      </c>
      <c r="M105" s="4">
        <v>240</v>
      </c>
      <c r="N105" s="4">
        <v>300</v>
      </c>
      <c r="O105" s="4" t="s">
        <v>44</v>
      </c>
      <c r="P105" s="4" t="s">
        <v>45</v>
      </c>
      <c r="Q105" s="4" t="s">
        <v>46</v>
      </c>
      <c r="R105" s="4" t="s">
        <v>241</v>
      </c>
      <c r="S105" s="4">
        <v>11</v>
      </c>
      <c r="T105" s="4">
        <f>BOM[[#This Row],[Longueur Tissage]]*BOM[[#This Row],[Duite Par Cm]]</f>
        <v>3300</v>
      </c>
      <c r="U105" s="9">
        <v>0.48</v>
      </c>
      <c r="V105" s="9">
        <v>0.45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</row>
    <row r="106" spans="1:28" x14ac:dyDescent="0.25">
      <c r="A106" s="3" t="str">
        <f>CONCATENATE(BOM[[#This Row],[Code Modèle]],BOM[[#This Row],[Code Dimensions]],"(",BOM[[#This Row],[Code Type De Finition]],")","-",BOM[[#This Row],[Code Nombre de couleur]])</f>
        <v>FAF2030(FR)-B</v>
      </c>
      <c r="B106" s="4" t="s">
        <v>148</v>
      </c>
      <c r="C106" s="4" t="s">
        <v>149</v>
      </c>
      <c r="D106" s="4" t="s">
        <v>221</v>
      </c>
      <c r="E106" s="4" t="s">
        <v>227</v>
      </c>
      <c r="F106" s="4" t="s">
        <v>51</v>
      </c>
      <c r="G106" s="7">
        <v>2030</v>
      </c>
      <c r="H106" s="4" t="s">
        <v>252</v>
      </c>
      <c r="I106" s="4" t="s">
        <v>250</v>
      </c>
      <c r="J106" s="4">
        <v>1</v>
      </c>
      <c r="K106" s="4" t="s">
        <v>231</v>
      </c>
      <c r="L106" s="4" t="s">
        <v>42</v>
      </c>
      <c r="M106" s="4">
        <v>200</v>
      </c>
      <c r="N106" s="4">
        <v>300</v>
      </c>
      <c r="O106" s="4" t="s">
        <v>44</v>
      </c>
      <c r="P106" s="4" t="s">
        <v>45</v>
      </c>
      <c r="Q106" s="4" t="s">
        <v>46</v>
      </c>
      <c r="R106" s="4" t="s">
        <v>241</v>
      </c>
      <c r="S106" s="4">
        <v>11</v>
      </c>
      <c r="T106" s="4">
        <f>BOM[[#This Row],[Longueur Tissage]]*BOM[[#This Row],[Duite Par Cm]]</f>
        <v>3300</v>
      </c>
      <c r="U106" s="8">
        <v>0.38</v>
      </c>
      <c r="V106" s="8">
        <v>0.35</v>
      </c>
      <c r="W106" s="8">
        <v>0</v>
      </c>
      <c r="X106" s="8">
        <v>0</v>
      </c>
      <c r="Y106" s="8">
        <v>0</v>
      </c>
      <c r="Z106" s="9">
        <v>0</v>
      </c>
      <c r="AA106" s="9">
        <v>0</v>
      </c>
      <c r="AB106" s="9">
        <v>0</v>
      </c>
    </row>
    <row r="107" spans="1:28" x14ac:dyDescent="0.25">
      <c r="A107" s="3" t="str">
        <f>CONCATENATE(BOM[[#This Row],[Code Modèle]],BOM[[#This Row],[Code Dimensions]],"(",BOM[[#This Row],[Code Type De Finition]],")","-",BOM[[#This Row],[Code Nombre de couleur]])</f>
        <v>FAF1824(OU)-B</v>
      </c>
      <c r="B107" s="4" t="s">
        <v>148</v>
      </c>
      <c r="C107" s="4" t="s">
        <v>149</v>
      </c>
      <c r="D107" s="4" t="s">
        <v>221</v>
      </c>
      <c r="E107" s="4" t="s">
        <v>227</v>
      </c>
      <c r="F107" s="4" t="s">
        <v>78</v>
      </c>
      <c r="G107" s="7" t="s">
        <v>199</v>
      </c>
      <c r="H107" s="4" t="s">
        <v>252</v>
      </c>
      <c r="I107" s="4" t="s">
        <v>250</v>
      </c>
      <c r="J107" s="4">
        <v>1</v>
      </c>
      <c r="K107" s="4" t="s">
        <v>234</v>
      </c>
      <c r="L107" s="4" t="s">
        <v>235</v>
      </c>
      <c r="M107" s="4">
        <v>180</v>
      </c>
      <c r="N107" s="4">
        <v>245</v>
      </c>
      <c r="O107" s="4" t="s">
        <v>44</v>
      </c>
      <c r="P107" s="4" t="s">
        <v>45</v>
      </c>
      <c r="Q107" s="4" t="s">
        <v>46</v>
      </c>
      <c r="R107" s="4" t="s">
        <v>241</v>
      </c>
      <c r="S107" s="4">
        <v>11</v>
      </c>
      <c r="T107" s="4">
        <f>BOM[[#This Row],[Longueur Tissage]]*BOM[[#This Row],[Duite Par Cm]]</f>
        <v>2695</v>
      </c>
      <c r="U107" s="8">
        <v>0.38</v>
      </c>
      <c r="V107" s="8">
        <v>0.35</v>
      </c>
      <c r="W107" s="8">
        <v>0</v>
      </c>
      <c r="X107" s="8">
        <v>0</v>
      </c>
      <c r="Y107" s="8">
        <v>0</v>
      </c>
      <c r="Z107" s="9">
        <v>0</v>
      </c>
      <c r="AA107" s="9">
        <v>0</v>
      </c>
      <c r="AB107" s="9">
        <v>0</v>
      </c>
    </row>
    <row r="108" spans="1:28" x14ac:dyDescent="0.25">
      <c r="A108" s="3" t="str">
        <f>CONCATENATE(BOM[[#This Row],[Code Modèle]],BOM[[#This Row],[Code Dimensions]],"(",BOM[[#This Row],[Code Type De Finition]],")","-",BOM[[#This Row],[Code Nombre de couleur]])</f>
        <v>FAF2030(OU)-B</v>
      </c>
      <c r="B108" s="4" t="s">
        <v>148</v>
      </c>
      <c r="C108" s="4" t="s">
        <v>149</v>
      </c>
      <c r="D108" s="4" t="s">
        <v>221</v>
      </c>
      <c r="E108" s="4" t="s">
        <v>227</v>
      </c>
      <c r="F108" s="4" t="s">
        <v>51</v>
      </c>
      <c r="G108" s="7">
        <v>2030</v>
      </c>
      <c r="H108" s="4" t="s">
        <v>252</v>
      </c>
      <c r="I108" s="4" t="s">
        <v>250</v>
      </c>
      <c r="J108" s="4">
        <v>1</v>
      </c>
      <c r="K108" s="4" t="s">
        <v>234</v>
      </c>
      <c r="L108" s="4" t="s">
        <v>235</v>
      </c>
      <c r="M108" s="4">
        <v>200</v>
      </c>
      <c r="N108" s="4">
        <v>300</v>
      </c>
      <c r="O108" s="4" t="s">
        <v>44</v>
      </c>
      <c r="P108" s="4" t="s">
        <v>45</v>
      </c>
      <c r="Q108" s="4" t="s">
        <v>46</v>
      </c>
      <c r="R108" s="4" t="s">
        <v>241</v>
      </c>
      <c r="S108" s="4">
        <v>11</v>
      </c>
      <c r="T108" s="4">
        <f>BOM[[#This Row],[Longueur Tissage]]*BOM[[#This Row],[Duite Par Cm]]</f>
        <v>3300</v>
      </c>
      <c r="U108" s="8">
        <v>0.38</v>
      </c>
      <c r="V108" s="8">
        <v>0.35</v>
      </c>
      <c r="W108" s="8">
        <v>0</v>
      </c>
      <c r="X108" s="8">
        <v>0</v>
      </c>
      <c r="Y108" s="8">
        <v>0</v>
      </c>
      <c r="Z108" s="9">
        <v>0</v>
      </c>
      <c r="AA108" s="9">
        <v>0</v>
      </c>
      <c r="AB108" s="9">
        <v>0</v>
      </c>
    </row>
    <row r="109" spans="1:28" x14ac:dyDescent="0.25">
      <c r="A109" s="3" t="str">
        <f>CONCATENATE(BOM[[#This Row],[Code Modèle]],BOM[[#This Row],[Code Dimensions]],"(",BOM[[#This Row],[Code Type De Finition]],")","-",BOM[[#This Row],[Code Nombre de couleur]])</f>
        <v>FAF2426(OU)-B</v>
      </c>
      <c r="B109" s="4" t="s">
        <v>148</v>
      </c>
      <c r="C109" s="4" t="s">
        <v>149</v>
      </c>
      <c r="D109" s="4" t="s">
        <v>221</v>
      </c>
      <c r="E109" s="4" t="s">
        <v>227</v>
      </c>
      <c r="F109" s="4" t="s">
        <v>52</v>
      </c>
      <c r="G109" s="7">
        <v>2426</v>
      </c>
      <c r="H109" s="4" t="s">
        <v>252</v>
      </c>
      <c r="I109" s="4" t="s">
        <v>250</v>
      </c>
      <c r="J109" s="4">
        <v>1</v>
      </c>
      <c r="K109" s="4" t="s">
        <v>234</v>
      </c>
      <c r="L109" s="4" t="s">
        <v>235</v>
      </c>
      <c r="M109" s="4">
        <v>180</v>
      </c>
      <c r="N109" s="4">
        <v>265</v>
      </c>
      <c r="O109" s="4" t="s">
        <v>44</v>
      </c>
      <c r="P109" s="4" t="s">
        <v>45</v>
      </c>
      <c r="Q109" s="4" t="s">
        <v>46</v>
      </c>
      <c r="R109" s="4" t="s">
        <v>241</v>
      </c>
      <c r="S109" s="4">
        <v>11</v>
      </c>
      <c r="T109" s="4">
        <f>BOM[[#This Row],[Longueur Tissage]]*BOM[[#This Row],[Duite Par Cm]]</f>
        <v>2915</v>
      </c>
      <c r="U109" s="8">
        <v>0.48</v>
      </c>
      <c r="V109" s="8">
        <v>0.45</v>
      </c>
      <c r="W109" s="8">
        <v>0</v>
      </c>
      <c r="X109" s="8">
        <v>0</v>
      </c>
      <c r="Y109" s="8">
        <v>0</v>
      </c>
      <c r="Z109" s="9">
        <v>0</v>
      </c>
      <c r="AA109" s="9">
        <v>0</v>
      </c>
      <c r="AB109" s="9">
        <v>0</v>
      </c>
    </row>
    <row r="110" spans="1:28" ht="27" x14ac:dyDescent="0.25">
      <c r="A110" s="3" t="str">
        <f>CONCATENATE(BOM[[#This Row],[Code Modèle]],BOM[[#This Row],[Code Dimensions]],"(",BOM[[#This Row],[Code Type De Finition]],")","-",BOM[[#This Row],[Code Nombre de couleur]])</f>
        <v>FP1016(FR)-U</v>
      </c>
      <c r="B110" s="4" t="s">
        <v>150</v>
      </c>
      <c r="C110" s="4" t="s">
        <v>151</v>
      </c>
      <c r="D110" s="4" t="s">
        <v>224</v>
      </c>
      <c r="E110" s="4" t="s">
        <v>228</v>
      </c>
      <c r="F110" s="4" t="s">
        <v>152</v>
      </c>
      <c r="G110" s="7" t="s">
        <v>207</v>
      </c>
      <c r="H110" s="4" t="s">
        <v>263</v>
      </c>
      <c r="I110" s="4" t="s">
        <v>250</v>
      </c>
      <c r="J110" s="4">
        <v>1</v>
      </c>
      <c r="K110" s="4" t="s">
        <v>231</v>
      </c>
      <c r="L110" s="4" t="s">
        <v>42</v>
      </c>
      <c r="M110" s="4">
        <v>100</v>
      </c>
      <c r="N110" s="4">
        <v>200</v>
      </c>
      <c r="O110" s="4" t="s">
        <v>79</v>
      </c>
      <c r="P110" s="4" t="s">
        <v>80</v>
      </c>
      <c r="Q110" s="4" t="s">
        <v>46</v>
      </c>
      <c r="R110" s="4" t="s">
        <v>241</v>
      </c>
      <c r="S110" s="4">
        <v>10</v>
      </c>
      <c r="T110" s="4">
        <f>BOM[[#This Row],[Longueur Tissage]]*BOM[[#This Row],[Duite Par Cm]]</f>
        <v>2000</v>
      </c>
      <c r="U110" s="8">
        <v>0.3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</row>
    <row r="111" spans="1:28" ht="27" x14ac:dyDescent="0.25">
      <c r="A111" s="3" t="str">
        <f>CONCATENATE(BOM[[#This Row],[Code Modèle]],BOM[[#This Row],[Code Dimensions]],"(",BOM[[#This Row],[Code Type De Finition]],")","-",BOM[[#This Row],[Code Nombre de couleur]])</f>
        <v>FP1020(FR)-B</v>
      </c>
      <c r="B111" s="4" t="s">
        <v>150</v>
      </c>
      <c r="C111" s="4" t="s">
        <v>151</v>
      </c>
      <c r="D111" s="4" t="s">
        <v>224</v>
      </c>
      <c r="E111" s="4" t="s">
        <v>228</v>
      </c>
      <c r="F111" s="4" t="s">
        <v>43</v>
      </c>
      <c r="G111" s="7">
        <v>1020</v>
      </c>
      <c r="H111" s="4" t="s">
        <v>263</v>
      </c>
      <c r="I111" s="4" t="s">
        <v>250</v>
      </c>
      <c r="J111" s="4">
        <v>1</v>
      </c>
      <c r="K111" s="4" t="s">
        <v>231</v>
      </c>
      <c r="L111" s="4" t="s">
        <v>42</v>
      </c>
      <c r="M111" s="4">
        <v>100</v>
      </c>
      <c r="N111" s="4">
        <v>240</v>
      </c>
      <c r="O111" s="4" t="s">
        <v>44</v>
      </c>
      <c r="P111" s="4" t="s">
        <v>45</v>
      </c>
      <c r="Q111" s="4" t="s">
        <v>46</v>
      </c>
      <c r="R111" s="4" t="s">
        <v>241</v>
      </c>
      <c r="S111" s="4">
        <v>25</v>
      </c>
      <c r="T111" s="4">
        <f>BOM[[#This Row],[Longueur Tissage]]*BOM[[#This Row],[Duite Par Cm]]</f>
        <v>6000</v>
      </c>
      <c r="U111" s="9">
        <v>0.35</v>
      </c>
      <c r="V111" s="9">
        <v>0.25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</row>
    <row r="112" spans="1:28" ht="27" x14ac:dyDescent="0.25">
      <c r="A112" s="3" t="str">
        <f>CONCATENATE(BOM[[#This Row],[Code Modèle]],BOM[[#This Row],[Code Dimensions]],"(",BOM[[#This Row],[Code Type De Finition]],")","-",BOM[[#This Row],[Code Nombre de couleur]])</f>
        <v>PACKCHI0507(OU)-Q</v>
      </c>
      <c r="B112" s="4" t="s">
        <v>153</v>
      </c>
      <c r="C112" s="4" t="s">
        <v>154</v>
      </c>
      <c r="D112" s="4" t="s">
        <v>225</v>
      </c>
      <c r="E112" s="4" t="s">
        <v>226</v>
      </c>
      <c r="F112" s="4" t="s">
        <v>101</v>
      </c>
      <c r="G112" s="7" t="s">
        <v>201</v>
      </c>
      <c r="H112" s="4" t="s">
        <v>256</v>
      </c>
      <c r="I112" s="4" t="s">
        <v>248</v>
      </c>
      <c r="J112" s="4">
        <v>3</v>
      </c>
      <c r="K112" s="4" t="s">
        <v>234</v>
      </c>
      <c r="L112" s="4" t="s">
        <v>235</v>
      </c>
      <c r="M112" s="4">
        <v>170</v>
      </c>
      <c r="N112" s="4">
        <v>75</v>
      </c>
      <c r="O112" s="4" t="s">
        <v>66</v>
      </c>
      <c r="P112" s="4" t="s">
        <v>67</v>
      </c>
      <c r="Q112" s="4" t="s">
        <v>46</v>
      </c>
      <c r="R112" s="4" t="s">
        <v>241</v>
      </c>
      <c r="S112" s="4">
        <v>14.4</v>
      </c>
      <c r="T112" s="4">
        <f>BOM[[#This Row],[Longueur Tissage]]*BOM[[#This Row],[Duite Par Cm]]</f>
        <v>1080</v>
      </c>
      <c r="U112" s="9">
        <v>4.4999999999999998E-2</v>
      </c>
      <c r="V112" s="9">
        <v>0.06</v>
      </c>
      <c r="W112" s="9">
        <v>2.5000000000000001E-2</v>
      </c>
      <c r="X112" s="9">
        <v>3.5000000000000003E-2</v>
      </c>
      <c r="Y112" s="8">
        <v>0</v>
      </c>
      <c r="Z112" s="8">
        <v>0</v>
      </c>
      <c r="AA112" s="8">
        <v>0</v>
      </c>
      <c r="AB112" s="8">
        <v>0</v>
      </c>
    </row>
    <row r="113" spans="1:28" x14ac:dyDescent="0.25">
      <c r="A113" s="3" t="str">
        <f>CONCATENATE(BOM[[#This Row],[Code Modèle]],BOM[[#This Row],[Code Dimensions]],"(",BOM[[#This Row],[Code Type De Finition]],")","-",BOM[[#This Row],[Code Nombre de couleur]])</f>
        <v>PACKLO0507(OU)-T</v>
      </c>
      <c r="B113" s="4" t="s">
        <v>155</v>
      </c>
      <c r="C113" s="4" t="s">
        <v>156</v>
      </c>
      <c r="D113" s="4" t="s">
        <v>225</v>
      </c>
      <c r="E113" s="4" t="s">
        <v>226</v>
      </c>
      <c r="F113" s="4" t="s">
        <v>101</v>
      </c>
      <c r="G113" s="7" t="s">
        <v>201</v>
      </c>
      <c r="H113" s="4" t="s">
        <v>256</v>
      </c>
      <c r="I113" s="4" t="s">
        <v>248</v>
      </c>
      <c r="J113" s="4">
        <v>3</v>
      </c>
      <c r="K113" s="4" t="s">
        <v>234</v>
      </c>
      <c r="L113" s="4" t="s">
        <v>235</v>
      </c>
      <c r="M113" s="4">
        <v>170</v>
      </c>
      <c r="N113" s="4">
        <v>75</v>
      </c>
      <c r="O113" s="4" t="s">
        <v>47</v>
      </c>
      <c r="P113" s="4" t="s">
        <v>48</v>
      </c>
      <c r="Q113" s="4" t="s">
        <v>46</v>
      </c>
      <c r="R113" s="4" t="s">
        <v>241</v>
      </c>
      <c r="S113" s="4">
        <v>14.4</v>
      </c>
      <c r="T113" s="4">
        <f>BOM[[#This Row],[Longueur Tissage]]*BOM[[#This Row],[Duite Par Cm]]</f>
        <v>1080</v>
      </c>
      <c r="U113" s="9">
        <v>6.5000000000000002E-2</v>
      </c>
      <c r="V113" s="9">
        <v>6.5000000000000002E-2</v>
      </c>
      <c r="W113" s="9">
        <v>6.5000000000000002E-2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</row>
    <row r="114" spans="1:28" x14ac:dyDescent="0.25">
      <c r="A114" s="3" t="str">
        <f>CONCATENATE(BOM[[#This Row],[Code Modèle]],BOM[[#This Row],[Code Dimensions]],"(",BOM[[#This Row],[Code Type De Finition]],")","-",BOM[[#This Row],[Code Nombre de couleur]])</f>
        <v>PACKCL0507(OU)-B</v>
      </c>
      <c r="B114" s="4" t="s">
        <v>157</v>
      </c>
      <c r="C114" s="4" t="s">
        <v>158</v>
      </c>
      <c r="D114" s="4" t="s">
        <v>225</v>
      </c>
      <c r="E114" s="4" t="s">
        <v>226</v>
      </c>
      <c r="F114" s="4" t="s">
        <v>101</v>
      </c>
      <c r="G114" s="7" t="s">
        <v>201</v>
      </c>
      <c r="H114" s="4" t="s">
        <v>256</v>
      </c>
      <c r="I114" s="4" t="s">
        <v>248</v>
      </c>
      <c r="J114" s="4">
        <v>3</v>
      </c>
      <c r="K114" s="4" t="s">
        <v>234</v>
      </c>
      <c r="L114" s="4" t="s">
        <v>235</v>
      </c>
      <c r="M114" s="4">
        <v>170</v>
      </c>
      <c r="N114" s="4">
        <v>75</v>
      </c>
      <c r="O114" s="4" t="s">
        <v>44</v>
      </c>
      <c r="P114" s="4" t="s">
        <v>45</v>
      </c>
      <c r="Q114" s="4" t="s">
        <v>46</v>
      </c>
      <c r="R114" s="4" t="s">
        <v>241</v>
      </c>
      <c r="S114" s="4">
        <v>14.4</v>
      </c>
      <c r="T114" s="4">
        <f>BOM[[#This Row],[Longueur Tissage]]*BOM[[#This Row],[Duite Par Cm]]</f>
        <v>1080</v>
      </c>
      <c r="U114" s="8">
        <v>0.1</v>
      </c>
      <c r="V114" s="8">
        <v>0.1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</row>
    <row r="115" spans="1:28" x14ac:dyDescent="0.25">
      <c r="A115" s="3" t="str">
        <f>CONCATENATE(BOM[[#This Row],[Code Modèle]],BOM[[#This Row],[Code Dimensions]],"(",BOM[[#This Row],[Code Type De Finition]],")","-",BOM[[#This Row],[Code Nombre de couleur]])</f>
        <v>RE1824(FR)-T</v>
      </c>
      <c r="B115" s="4" t="s">
        <v>159</v>
      </c>
      <c r="C115" s="4" t="s">
        <v>160</v>
      </c>
      <c r="D115" s="4" t="s">
        <v>224</v>
      </c>
      <c r="E115" s="4" t="s">
        <v>228</v>
      </c>
      <c r="F115" s="4" t="s">
        <v>78</v>
      </c>
      <c r="G115" s="7" t="s">
        <v>199</v>
      </c>
      <c r="H115" s="4" t="s">
        <v>252</v>
      </c>
      <c r="I115" s="4" t="s">
        <v>250</v>
      </c>
      <c r="J115" s="4">
        <v>1</v>
      </c>
      <c r="K115" s="4" t="s">
        <v>236</v>
      </c>
      <c r="L115" s="4" t="s">
        <v>42</v>
      </c>
      <c r="M115" s="4">
        <v>180</v>
      </c>
      <c r="N115" s="4">
        <v>280</v>
      </c>
      <c r="O115" s="4" t="s">
        <v>47</v>
      </c>
      <c r="P115" s="4" t="s">
        <v>48</v>
      </c>
      <c r="Q115" s="4" t="s">
        <v>46</v>
      </c>
      <c r="R115" s="4" t="s">
        <v>241</v>
      </c>
      <c r="S115" s="4">
        <v>12</v>
      </c>
      <c r="T115" s="4">
        <f>BOM[[#This Row],[Longueur Tissage]]*BOM[[#This Row],[Duite Par Cm]]</f>
        <v>3360</v>
      </c>
      <c r="U115" s="8">
        <v>0.56000000000000005</v>
      </c>
      <c r="V115" s="8">
        <v>0.19500000000000001</v>
      </c>
      <c r="W115" s="8">
        <v>0.28000000000000003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</row>
    <row r="116" spans="1:28" x14ac:dyDescent="0.25">
      <c r="A116" s="3" t="str">
        <f>CONCATENATE(BOM[[#This Row],[Code Modèle]],BOM[[#This Row],[Code Dimensions]],"(",BOM[[#This Row],[Code Type De Finition]],")","-",BOM[[#This Row],[Code Nombre de couleur]])</f>
        <v>RE2426(FR)-T</v>
      </c>
      <c r="B116" s="4" t="s">
        <v>159</v>
      </c>
      <c r="C116" s="4" t="s">
        <v>160</v>
      </c>
      <c r="D116" s="4" t="s">
        <v>224</v>
      </c>
      <c r="E116" s="4" t="s">
        <v>228</v>
      </c>
      <c r="F116" s="4" t="s">
        <v>52</v>
      </c>
      <c r="G116" s="7">
        <v>2426</v>
      </c>
      <c r="H116" s="4" t="s">
        <v>252</v>
      </c>
      <c r="I116" s="4" t="s">
        <v>250</v>
      </c>
      <c r="J116" s="4">
        <v>1</v>
      </c>
      <c r="K116" s="4" t="s">
        <v>236</v>
      </c>
      <c r="L116" s="4" t="s">
        <v>42</v>
      </c>
      <c r="M116" s="4">
        <v>240</v>
      </c>
      <c r="N116" s="4">
        <v>300</v>
      </c>
      <c r="O116" s="4" t="s">
        <v>47</v>
      </c>
      <c r="P116" s="4" t="s">
        <v>48</v>
      </c>
      <c r="Q116" s="4" t="s">
        <v>46</v>
      </c>
      <c r="R116" s="4" t="s">
        <v>241</v>
      </c>
      <c r="S116" s="4">
        <v>12</v>
      </c>
      <c r="T116" s="4">
        <f>BOM[[#This Row],[Longueur Tissage]]*BOM[[#This Row],[Duite Par Cm]]</f>
        <v>3600</v>
      </c>
      <c r="U116" s="8">
        <v>0.88100000000000001</v>
      </c>
      <c r="V116" s="8">
        <v>0.434</v>
      </c>
      <c r="W116" s="8">
        <v>0.60699999999999998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</row>
    <row r="117" spans="1:28" x14ac:dyDescent="0.25">
      <c r="A117" s="3" t="str">
        <f>CONCATENATE(BOM[[#This Row],[Code Modèle]],BOM[[#This Row],[Code Dimensions]],"(",BOM[[#This Row],[Code Type De Finition]],")","-",BOM[[#This Row],[Code Nombre de couleur]])</f>
        <v>RE2430(FR)-T</v>
      </c>
      <c r="B117" s="4" t="s">
        <v>159</v>
      </c>
      <c r="C117" s="4" t="s">
        <v>160</v>
      </c>
      <c r="D117" s="4" t="s">
        <v>224</v>
      </c>
      <c r="E117" s="4" t="s">
        <v>228</v>
      </c>
      <c r="F117" s="4" t="s">
        <v>136</v>
      </c>
      <c r="G117" s="7">
        <v>2430</v>
      </c>
      <c r="H117" s="4" t="s">
        <v>252</v>
      </c>
      <c r="I117" s="4" t="s">
        <v>250</v>
      </c>
      <c r="J117" s="4">
        <v>1</v>
      </c>
      <c r="K117" s="4" t="s">
        <v>236</v>
      </c>
      <c r="L117" s="4" t="s">
        <v>42</v>
      </c>
      <c r="M117" s="4">
        <v>240</v>
      </c>
      <c r="N117" s="4">
        <v>340</v>
      </c>
      <c r="O117" s="4" t="s">
        <v>47</v>
      </c>
      <c r="P117" s="4" t="s">
        <v>48</v>
      </c>
      <c r="Q117" s="4" t="s">
        <v>46</v>
      </c>
      <c r="R117" s="4" t="s">
        <v>241</v>
      </c>
      <c r="S117" s="4">
        <v>12</v>
      </c>
      <c r="T117" s="4">
        <f>BOM[[#This Row],[Longueur Tissage]]*BOM[[#This Row],[Duite Par Cm]]</f>
        <v>4080</v>
      </c>
      <c r="U117" s="8">
        <v>0.95</v>
      </c>
      <c r="V117" s="8">
        <v>0.55000000000000004</v>
      </c>
      <c r="W117" s="8">
        <v>0.7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</row>
    <row r="118" spans="1:28" ht="27" x14ac:dyDescent="0.25">
      <c r="A118" s="3" t="str">
        <f>CONCATENATE(BOM[[#This Row],[Code Modèle]],BOM[[#This Row],[Code Dimensions]],"(",BOM[[#This Row],[Code Type De Finition]],")","-",BOM[[#This Row],[Code Nombre de couleur]])</f>
        <v>HCRE0406(FR)-T</v>
      </c>
      <c r="B118" s="4" t="s">
        <v>161</v>
      </c>
      <c r="C118" s="4" t="s">
        <v>162</v>
      </c>
      <c r="D118" s="4" t="s">
        <v>224</v>
      </c>
      <c r="E118" s="4" t="s">
        <v>228</v>
      </c>
      <c r="F118" s="4" t="s">
        <v>163</v>
      </c>
      <c r="G118" s="7" t="s">
        <v>212</v>
      </c>
      <c r="H118" s="4" t="s">
        <v>259</v>
      </c>
      <c r="I118" s="4" t="s">
        <v>248</v>
      </c>
      <c r="J118" s="4">
        <v>2</v>
      </c>
      <c r="K118" s="4" t="s">
        <v>231</v>
      </c>
      <c r="L118" s="4" t="s">
        <v>42</v>
      </c>
      <c r="M118" s="4">
        <v>180</v>
      </c>
      <c r="N118" s="4">
        <v>65</v>
      </c>
      <c r="O118" s="4" t="s">
        <v>47</v>
      </c>
      <c r="P118" s="4" t="s">
        <v>48</v>
      </c>
      <c r="Q118" s="4" t="s">
        <v>46</v>
      </c>
      <c r="R118" s="4" t="s">
        <v>241</v>
      </c>
      <c r="S118" s="4">
        <v>12</v>
      </c>
      <c r="T118" s="4">
        <f>BOM[[#This Row],[Longueur Tissage]]*BOM[[#This Row],[Duite Par Cm]]</f>
        <v>780</v>
      </c>
      <c r="U118" s="8">
        <v>0.20999999999999996</v>
      </c>
      <c r="V118" s="8">
        <v>5.1000000000000156E-2</v>
      </c>
      <c r="W118" s="8">
        <v>4.5999999999999819E-2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</row>
    <row r="119" spans="1:28" x14ac:dyDescent="0.25">
      <c r="A119" s="3" t="str">
        <f>CONCATENATE(BOM[[#This Row],[Code Modèle]],BOM[[#This Row],[Code Dimensions]],"(",BOM[[#This Row],[Code Type De Finition]],")","-",BOM[[#This Row],[Code Nombre de couleur]])</f>
        <v>RE1824(OU)-T</v>
      </c>
      <c r="B119" s="4" t="s">
        <v>159</v>
      </c>
      <c r="C119" s="4" t="s">
        <v>160</v>
      </c>
      <c r="D119" s="4" t="s">
        <v>224</v>
      </c>
      <c r="E119" s="4" t="s">
        <v>228</v>
      </c>
      <c r="F119" s="4" t="s">
        <v>78</v>
      </c>
      <c r="G119" s="7" t="s">
        <v>199</v>
      </c>
      <c r="H119" s="4" t="s">
        <v>252</v>
      </c>
      <c r="I119" s="4" t="s">
        <v>250</v>
      </c>
      <c r="J119" s="4">
        <v>1</v>
      </c>
      <c r="K119" s="4" t="s">
        <v>234</v>
      </c>
      <c r="L119" s="4" t="s">
        <v>235</v>
      </c>
      <c r="M119" s="4">
        <v>180</v>
      </c>
      <c r="N119" s="4">
        <v>280</v>
      </c>
      <c r="O119" s="4" t="s">
        <v>47</v>
      </c>
      <c r="P119" s="4" t="s">
        <v>48</v>
      </c>
      <c r="Q119" s="4" t="s">
        <v>46</v>
      </c>
      <c r="R119" s="4" t="s">
        <v>241</v>
      </c>
      <c r="S119" s="4">
        <v>12</v>
      </c>
      <c r="T119" s="4">
        <f>BOM[[#This Row],[Longueur Tissage]]*BOM[[#This Row],[Duite Par Cm]]</f>
        <v>3360</v>
      </c>
      <c r="U119" s="8">
        <v>0.56000000000000005</v>
      </c>
      <c r="V119" s="8">
        <v>0.19500000000000001</v>
      </c>
      <c r="W119" s="8">
        <v>0.28000000000000003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</row>
    <row r="120" spans="1:28" x14ac:dyDescent="0.25">
      <c r="A120" s="3" t="str">
        <f>CONCATENATE(BOM[[#This Row],[Code Modèle]],BOM[[#This Row],[Code Dimensions]],"(",BOM[[#This Row],[Code Type De Finition]],")","-",BOM[[#This Row],[Code Nombre de couleur]])</f>
        <v>RE2426(OU)-T</v>
      </c>
      <c r="B120" s="4" t="s">
        <v>159</v>
      </c>
      <c r="C120" s="4" t="s">
        <v>160</v>
      </c>
      <c r="D120" s="4" t="s">
        <v>224</v>
      </c>
      <c r="E120" s="4" t="s">
        <v>228</v>
      </c>
      <c r="F120" s="4" t="s">
        <v>52</v>
      </c>
      <c r="G120" s="7">
        <v>2426</v>
      </c>
      <c r="H120" s="4" t="s">
        <v>252</v>
      </c>
      <c r="I120" s="4" t="s">
        <v>250</v>
      </c>
      <c r="J120" s="4">
        <v>1</v>
      </c>
      <c r="K120" s="4" t="s">
        <v>234</v>
      </c>
      <c r="L120" s="4" t="s">
        <v>235</v>
      </c>
      <c r="M120" s="4">
        <v>240</v>
      </c>
      <c r="N120" s="4">
        <v>300</v>
      </c>
      <c r="O120" s="4" t="s">
        <v>47</v>
      </c>
      <c r="P120" s="4" t="s">
        <v>48</v>
      </c>
      <c r="Q120" s="4" t="s">
        <v>46</v>
      </c>
      <c r="R120" s="4" t="s">
        <v>241</v>
      </c>
      <c r="S120" s="4">
        <v>12</v>
      </c>
      <c r="T120" s="4">
        <f>BOM[[#This Row],[Longueur Tissage]]*BOM[[#This Row],[Duite Par Cm]]</f>
        <v>3600</v>
      </c>
      <c r="U120" s="8">
        <v>0.88100000000000001</v>
      </c>
      <c r="V120" s="8">
        <v>0.434</v>
      </c>
      <c r="W120" s="8">
        <v>0.60699999999999998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</row>
    <row r="121" spans="1:28" x14ac:dyDescent="0.25">
      <c r="A121" s="3" t="str">
        <f>CONCATENATE(BOM[[#This Row],[Code Modèle]],BOM[[#This Row],[Code Dimensions]],"(",BOM[[#This Row],[Code Type De Finition]],")","-",BOM[[#This Row],[Code Nombre de couleur]])</f>
        <v>RE2430(OU)-T</v>
      </c>
      <c r="B121" s="4" t="s">
        <v>159</v>
      </c>
      <c r="C121" s="4" t="s">
        <v>160</v>
      </c>
      <c r="D121" s="4" t="s">
        <v>224</v>
      </c>
      <c r="E121" s="4" t="s">
        <v>228</v>
      </c>
      <c r="F121" s="4" t="s">
        <v>136</v>
      </c>
      <c r="G121" s="7">
        <v>2430</v>
      </c>
      <c r="H121" s="4" t="s">
        <v>252</v>
      </c>
      <c r="I121" s="4" t="s">
        <v>250</v>
      </c>
      <c r="J121" s="4">
        <v>1</v>
      </c>
      <c r="K121" s="4" t="s">
        <v>234</v>
      </c>
      <c r="L121" s="4" t="s">
        <v>235</v>
      </c>
      <c r="M121" s="4">
        <v>240</v>
      </c>
      <c r="N121" s="4">
        <v>340</v>
      </c>
      <c r="O121" s="4" t="s">
        <v>47</v>
      </c>
      <c r="P121" s="4" t="s">
        <v>48</v>
      </c>
      <c r="Q121" s="4" t="s">
        <v>46</v>
      </c>
      <c r="R121" s="4" t="s">
        <v>241</v>
      </c>
      <c r="S121" s="4">
        <v>12</v>
      </c>
      <c r="T121" s="4">
        <f>BOM[[#This Row],[Longueur Tissage]]*BOM[[#This Row],[Duite Par Cm]]</f>
        <v>4080</v>
      </c>
      <c r="U121" s="8">
        <v>0.95</v>
      </c>
      <c r="V121" s="8">
        <v>0.55000000000000004</v>
      </c>
      <c r="W121" s="8">
        <v>0.7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</row>
    <row r="122" spans="1:28" x14ac:dyDescent="0.25">
      <c r="A122" s="3" t="str">
        <f>CONCATENATE(BOM[[#This Row],[Code Modèle]],BOM[[#This Row],[Code Dimensions]],"(",BOM[[#This Row],[Code Type De Finition]],")","-",BOM[[#This Row],[Code Nombre de couleur]])</f>
        <v>NAT1020(FR)-T</v>
      </c>
      <c r="B122" s="4" t="s">
        <v>164</v>
      </c>
      <c r="C122" s="4" t="s">
        <v>165</v>
      </c>
      <c r="D122" s="4" t="s">
        <v>224</v>
      </c>
      <c r="E122" s="4" t="s">
        <v>165</v>
      </c>
      <c r="F122" s="4" t="s">
        <v>43</v>
      </c>
      <c r="G122" s="7">
        <v>1020</v>
      </c>
      <c r="H122" s="4" t="s">
        <v>251</v>
      </c>
      <c r="I122" s="4" t="s">
        <v>250</v>
      </c>
      <c r="J122" s="4">
        <v>1</v>
      </c>
      <c r="K122" s="4" t="s">
        <v>236</v>
      </c>
      <c r="L122" s="4" t="s">
        <v>42</v>
      </c>
      <c r="M122" s="4">
        <v>100</v>
      </c>
      <c r="N122" s="4">
        <v>240</v>
      </c>
      <c r="O122" s="4" t="s">
        <v>47</v>
      </c>
      <c r="P122" s="4" t="s">
        <v>48</v>
      </c>
      <c r="Q122" s="4" t="s">
        <v>46</v>
      </c>
      <c r="R122" s="4" t="s">
        <v>241</v>
      </c>
      <c r="S122" s="4">
        <v>11</v>
      </c>
      <c r="T122" s="4">
        <f>BOM[[#This Row],[Longueur Tissage]]*BOM[[#This Row],[Duite Par Cm]]</f>
        <v>2640</v>
      </c>
      <c r="U122" s="9">
        <v>0.25</v>
      </c>
      <c r="V122" s="9">
        <v>0.25</v>
      </c>
      <c r="W122" s="9">
        <v>7.4999999999999997E-2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</row>
    <row r="123" spans="1:28" x14ac:dyDescent="0.25">
      <c r="A123" s="3" t="str">
        <f>CONCATENATE(BOM[[#This Row],[Code Modèle]],BOM[[#This Row],[Code Dimensions]],"(",BOM[[#This Row],[Code Type De Finition]],")","-",BOM[[#This Row],[Code Nombre de couleur]])</f>
        <v>NAT1626(FR)-T</v>
      </c>
      <c r="B123" s="4" t="s">
        <v>164</v>
      </c>
      <c r="C123" s="4" t="s">
        <v>165</v>
      </c>
      <c r="D123" s="4" t="s">
        <v>224</v>
      </c>
      <c r="E123" s="4" t="s">
        <v>165</v>
      </c>
      <c r="F123" s="4" t="s">
        <v>49</v>
      </c>
      <c r="G123" s="7">
        <v>1626</v>
      </c>
      <c r="H123" s="4" t="s">
        <v>252</v>
      </c>
      <c r="I123" s="4" t="s">
        <v>250</v>
      </c>
      <c r="J123" s="4">
        <v>1</v>
      </c>
      <c r="K123" s="4" t="s">
        <v>236</v>
      </c>
      <c r="L123" s="4" t="s">
        <v>42</v>
      </c>
      <c r="M123" s="4">
        <v>160</v>
      </c>
      <c r="N123" s="4">
        <v>300</v>
      </c>
      <c r="O123" s="4" t="s">
        <v>47</v>
      </c>
      <c r="P123" s="4" t="s">
        <v>48</v>
      </c>
      <c r="Q123" s="4" t="s">
        <v>46</v>
      </c>
      <c r="R123" s="4" t="s">
        <v>241</v>
      </c>
      <c r="S123" s="4">
        <v>11</v>
      </c>
      <c r="T123" s="4">
        <f>BOM[[#This Row],[Longueur Tissage]]*BOM[[#This Row],[Duite Par Cm]]</f>
        <v>3300</v>
      </c>
      <c r="U123" s="8">
        <v>0.45</v>
      </c>
      <c r="V123" s="8">
        <v>0.45</v>
      </c>
      <c r="W123" s="8">
        <v>0.15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</row>
    <row r="124" spans="1:28" x14ac:dyDescent="0.25">
      <c r="A124" s="3" t="str">
        <f>CONCATENATE(BOM[[#This Row],[Code Modèle]],BOM[[#This Row],[Code Dimensions]],"(",BOM[[#This Row],[Code Type De Finition]],")","-",BOM[[#This Row],[Code Nombre de couleur]])</f>
        <v>NAT2426(FR)-T</v>
      </c>
      <c r="B124" s="4" t="s">
        <v>164</v>
      </c>
      <c r="C124" s="4" t="s">
        <v>165</v>
      </c>
      <c r="D124" s="4" t="s">
        <v>224</v>
      </c>
      <c r="E124" s="4" t="s">
        <v>165</v>
      </c>
      <c r="F124" s="4" t="s">
        <v>52</v>
      </c>
      <c r="G124" s="7">
        <v>2426</v>
      </c>
      <c r="H124" s="4" t="s">
        <v>252</v>
      </c>
      <c r="I124" s="4" t="s">
        <v>250</v>
      </c>
      <c r="J124" s="4">
        <v>1</v>
      </c>
      <c r="K124" s="4" t="s">
        <v>236</v>
      </c>
      <c r="L124" s="4" t="s">
        <v>42</v>
      </c>
      <c r="M124" s="4">
        <v>240</v>
      </c>
      <c r="N124" s="4">
        <v>260</v>
      </c>
      <c r="O124" s="4" t="s">
        <v>47</v>
      </c>
      <c r="P124" s="4" t="s">
        <v>48</v>
      </c>
      <c r="Q124" s="4" t="s">
        <v>46</v>
      </c>
      <c r="R124" s="4" t="s">
        <v>241</v>
      </c>
      <c r="S124" s="4">
        <v>11</v>
      </c>
      <c r="T124" s="4">
        <f>BOM[[#This Row],[Longueur Tissage]]*BOM[[#This Row],[Duite Par Cm]]</f>
        <v>2860</v>
      </c>
      <c r="U124" s="4">
        <v>0.6</v>
      </c>
      <c r="V124" s="4">
        <v>0.6</v>
      </c>
      <c r="W124" s="4">
        <v>0.2</v>
      </c>
      <c r="X124" s="4">
        <v>0</v>
      </c>
      <c r="Y124" s="8">
        <v>0</v>
      </c>
      <c r="Z124" s="8">
        <v>0</v>
      </c>
      <c r="AA124" s="8">
        <v>0</v>
      </c>
      <c r="AB124" s="8">
        <v>0</v>
      </c>
    </row>
    <row r="125" spans="1:28" x14ac:dyDescent="0.25">
      <c r="A125" s="3" t="str">
        <f>CONCATENATE(BOM[[#This Row],[Code Modèle]],BOM[[#This Row],[Code Dimensions]],"(",BOM[[#This Row],[Code Type De Finition]],")","-",BOM[[#This Row],[Code Nombre de couleur]])</f>
        <v>NAT1824(FR)-T</v>
      </c>
      <c r="B125" s="4" t="s">
        <v>164</v>
      </c>
      <c r="C125" s="4" t="s">
        <v>165</v>
      </c>
      <c r="D125" s="4" t="s">
        <v>224</v>
      </c>
      <c r="E125" s="4" t="s">
        <v>165</v>
      </c>
      <c r="F125" s="4" t="s">
        <v>78</v>
      </c>
      <c r="G125" s="7" t="s">
        <v>199</v>
      </c>
      <c r="H125" s="4" t="s">
        <v>252</v>
      </c>
      <c r="I125" s="4" t="s">
        <v>250</v>
      </c>
      <c r="J125" s="4">
        <v>1</v>
      </c>
      <c r="K125" s="4" t="s">
        <v>236</v>
      </c>
      <c r="L125" s="4" t="s">
        <v>42</v>
      </c>
      <c r="M125" s="4">
        <v>180</v>
      </c>
      <c r="N125" s="4">
        <v>280</v>
      </c>
      <c r="O125" s="4" t="s">
        <v>47</v>
      </c>
      <c r="P125" s="4" t="s">
        <v>48</v>
      </c>
      <c r="Q125" s="4" t="s">
        <v>46</v>
      </c>
      <c r="R125" s="4" t="s">
        <v>241</v>
      </c>
      <c r="S125" s="4">
        <v>10.5</v>
      </c>
      <c r="T125" s="4">
        <f>BOM[[#This Row],[Longueur Tissage]]*BOM[[#This Row],[Duite Par Cm]]</f>
        <v>2940</v>
      </c>
      <c r="U125" s="8">
        <v>0.45</v>
      </c>
      <c r="V125" s="8">
        <v>0.45</v>
      </c>
      <c r="W125" s="8">
        <v>0.15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</row>
    <row r="126" spans="1:28" x14ac:dyDescent="0.25">
      <c r="A126" s="3" t="str">
        <f>CONCATENATE(BOM[[#This Row],[Code Modèle]],BOM[[#This Row],[Code Dimensions]],"(",BOM[[#This Row],[Code Type De Finition]],")","-",BOM[[#This Row],[Code Nombre de couleur]])</f>
        <v>NAT2030(FR)-T</v>
      </c>
      <c r="B126" s="4" t="s">
        <v>164</v>
      </c>
      <c r="C126" s="4" t="s">
        <v>165</v>
      </c>
      <c r="D126" s="4" t="s">
        <v>224</v>
      </c>
      <c r="E126" s="4" t="s">
        <v>165</v>
      </c>
      <c r="F126" s="4" t="s">
        <v>51</v>
      </c>
      <c r="G126" s="7">
        <v>2030</v>
      </c>
      <c r="H126" s="4" t="s">
        <v>252</v>
      </c>
      <c r="I126" s="4" t="s">
        <v>250</v>
      </c>
      <c r="J126" s="4">
        <v>1</v>
      </c>
      <c r="K126" s="4" t="s">
        <v>236</v>
      </c>
      <c r="L126" s="4" t="s">
        <v>42</v>
      </c>
      <c r="M126" s="4">
        <v>200</v>
      </c>
      <c r="N126" s="4">
        <v>340</v>
      </c>
      <c r="O126" s="4" t="s">
        <v>47</v>
      </c>
      <c r="P126" s="4" t="s">
        <v>48</v>
      </c>
      <c r="Q126" s="4" t="s">
        <v>46</v>
      </c>
      <c r="R126" s="4" t="s">
        <v>241</v>
      </c>
      <c r="S126" s="4">
        <v>10.5</v>
      </c>
      <c r="T126" s="4">
        <f>BOM[[#This Row],[Longueur Tissage]]*BOM[[#This Row],[Duite Par Cm]]</f>
        <v>3570</v>
      </c>
      <c r="U126" s="9">
        <v>0.75</v>
      </c>
      <c r="V126" s="9">
        <v>0.75</v>
      </c>
      <c r="W126" s="9">
        <v>0.22500000000000001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</row>
    <row r="127" spans="1:28" ht="27" x14ac:dyDescent="0.25">
      <c r="A127" s="3" t="str">
        <f>CONCATENATE(BOM[[#This Row],[Code Modèle]],BOM[[#This Row],[Code Dimensions]],"(",BOM[[#This Row],[Code Type De Finition]],")","-",BOM[[#This Row],[Code Nombre de couleur]])</f>
        <v>HCNAT0507(CO)-T</v>
      </c>
      <c r="B127" s="4" t="s">
        <v>166</v>
      </c>
      <c r="C127" s="4" t="s">
        <v>167</v>
      </c>
      <c r="D127" s="4" t="s">
        <v>224</v>
      </c>
      <c r="E127" s="4" t="s">
        <v>165</v>
      </c>
      <c r="F127" s="4" t="s">
        <v>101</v>
      </c>
      <c r="G127" s="7" t="s">
        <v>201</v>
      </c>
      <c r="H127" s="4" t="s">
        <v>259</v>
      </c>
      <c r="I127" s="4" t="s">
        <v>248</v>
      </c>
      <c r="J127" s="4">
        <v>2</v>
      </c>
      <c r="K127" s="4" t="s">
        <v>220</v>
      </c>
      <c r="L127" s="4" t="s">
        <v>215</v>
      </c>
      <c r="M127" s="4">
        <v>180</v>
      </c>
      <c r="N127" s="4">
        <v>60</v>
      </c>
      <c r="O127" s="4" t="s">
        <v>47</v>
      </c>
      <c r="P127" s="4" t="s">
        <v>48</v>
      </c>
      <c r="Q127" s="4" t="s">
        <v>46</v>
      </c>
      <c r="R127" s="4" t="s">
        <v>241</v>
      </c>
      <c r="S127" s="4">
        <v>10.5</v>
      </c>
      <c r="T127" s="4">
        <f>BOM[[#This Row],[Longueur Tissage]]*BOM[[#This Row],[Duite Par Cm]]</f>
        <v>630</v>
      </c>
      <c r="U127" s="9">
        <v>0.1</v>
      </c>
      <c r="V127" s="9">
        <v>0.1</v>
      </c>
      <c r="W127" s="9">
        <v>0.04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</row>
    <row r="128" spans="1:28" x14ac:dyDescent="0.25">
      <c r="A128" s="3" t="str">
        <f>CONCATENATE(BOM[[#This Row],[Code Modèle]],BOM[[#This Row],[Code Dimensions]],"(",BOM[[#This Row],[Code Type De Finition]],")","-",BOM[[#This Row],[Code Nombre de couleur]])</f>
        <v>NAT1020(OU)-T</v>
      </c>
      <c r="B128" s="4" t="s">
        <v>164</v>
      </c>
      <c r="C128" s="4" t="s">
        <v>165</v>
      </c>
      <c r="D128" s="4" t="s">
        <v>224</v>
      </c>
      <c r="E128" s="4" t="s">
        <v>165</v>
      </c>
      <c r="F128" s="4" t="s">
        <v>43</v>
      </c>
      <c r="G128" s="7">
        <v>1020</v>
      </c>
      <c r="H128" s="4" t="s">
        <v>251</v>
      </c>
      <c r="I128" s="4" t="s">
        <v>250</v>
      </c>
      <c r="J128" s="4">
        <v>1</v>
      </c>
      <c r="K128" s="4" t="s">
        <v>234</v>
      </c>
      <c r="L128" s="4" t="s">
        <v>235</v>
      </c>
      <c r="M128" s="4">
        <v>100</v>
      </c>
      <c r="N128" s="4">
        <v>200</v>
      </c>
      <c r="O128" s="4" t="s">
        <v>47</v>
      </c>
      <c r="P128" s="4" t="s">
        <v>48</v>
      </c>
      <c r="Q128" s="4" t="s">
        <v>46</v>
      </c>
      <c r="R128" s="4" t="s">
        <v>241</v>
      </c>
      <c r="S128" s="4">
        <v>11</v>
      </c>
      <c r="T128" s="4">
        <f>BOM[[#This Row],[Longueur Tissage]]*BOM[[#This Row],[Duite Par Cm]]</f>
        <v>2200</v>
      </c>
      <c r="U128" s="9">
        <v>0.25</v>
      </c>
      <c r="V128" s="9">
        <v>0.25</v>
      </c>
      <c r="W128" s="9">
        <v>7.4999999999999997E-2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</row>
    <row r="129" spans="1:28" x14ac:dyDescent="0.25">
      <c r="A129" s="3" t="str">
        <f>CONCATENATE(BOM[[#This Row],[Code Modèle]],BOM[[#This Row],[Code Dimensions]],"(",BOM[[#This Row],[Code Type De Finition]],")","-",BOM[[#This Row],[Code Nombre de couleur]])</f>
        <v>NAT1626(OU)-T</v>
      </c>
      <c r="B129" s="4" t="s">
        <v>164</v>
      </c>
      <c r="C129" s="4" t="s">
        <v>165</v>
      </c>
      <c r="D129" s="4" t="s">
        <v>224</v>
      </c>
      <c r="E129" s="4" t="s">
        <v>165</v>
      </c>
      <c r="F129" s="4" t="s">
        <v>49</v>
      </c>
      <c r="G129" s="7">
        <v>1626</v>
      </c>
      <c r="H129" s="4" t="s">
        <v>252</v>
      </c>
      <c r="I129" s="4" t="s">
        <v>250</v>
      </c>
      <c r="J129" s="4">
        <v>1</v>
      </c>
      <c r="K129" s="4" t="s">
        <v>234</v>
      </c>
      <c r="L129" s="4" t="s">
        <v>235</v>
      </c>
      <c r="M129" s="4">
        <v>160</v>
      </c>
      <c r="N129" s="4">
        <v>260</v>
      </c>
      <c r="O129" s="4" t="s">
        <v>47</v>
      </c>
      <c r="P129" s="4" t="s">
        <v>48</v>
      </c>
      <c r="Q129" s="4" t="s">
        <v>46</v>
      </c>
      <c r="R129" s="4" t="s">
        <v>241</v>
      </c>
      <c r="S129" s="4">
        <v>11</v>
      </c>
      <c r="T129" s="4">
        <f>BOM[[#This Row],[Longueur Tissage]]*BOM[[#This Row],[Duite Par Cm]]</f>
        <v>2860</v>
      </c>
      <c r="U129" s="8">
        <v>0.45</v>
      </c>
      <c r="V129" s="8">
        <v>0.45</v>
      </c>
      <c r="W129" s="8">
        <v>0.15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</row>
    <row r="130" spans="1:28" x14ac:dyDescent="0.25">
      <c r="A130" s="3" t="str">
        <f>CONCATENATE(BOM[[#This Row],[Code Modèle]],BOM[[#This Row],[Code Dimensions]],"(",BOM[[#This Row],[Code Type De Finition]],")","-",BOM[[#This Row],[Code Nombre de couleur]])</f>
        <v>NAT2426(OU)-T</v>
      </c>
      <c r="B130" s="4" t="s">
        <v>164</v>
      </c>
      <c r="C130" s="4" t="s">
        <v>165</v>
      </c>
      <c r="D130" s="4" t="s">
        <v>224</v>
      </c>
      <c r="E130" s="4" t="s">
        <v>165</v>
      </c>
      <c r="F130" s="4" t="s">
        <v>52</v>
      </c>
      <c r="G130" s="7">
        <v>2426</v>
      </c>
      <c r="H130" s="4" t="s">
        <v>252</v>
      </c>
      <c r="I130" s="4" t="s">
        <v>250</v>
      </c>
      <c r="J130" s="4">
        <v>1</v>
      </c>
      <c r="K130" s="4" t="s">
        <v>234</v>
      </c>
      <c r="L130" s="4" t="s">
        <v>235</v>
      </c>
      <c r="M130" s="4">
        <v>240</v>
      </c>
      <c r="N130" s="4">
        <v>260</v>
      </c>
      <c r="O130" s="4" t="s">
        <v>47</v>
      </c>
      <c r="P130" s="4" t="s">
        <v>48</v>
      </c>
      <c r="Q130" s="4" t="s">
        <v>46</v>
      </c>
      <c r="R130" s="4" t="s">
        <v>241</v>
      </c>
      <c r="S130" s="4">
        <v>11</v>
      </c>
      <c r="T130" s="4">
        <f>BOM[[#This Row],[Longueur Tissage]]*BOM[[#This Row],[Duite Par Cm]]</f>
        <v>2860</v>
      </c>
      <c r="U130" s="4">
        <v>0.6</v>
      </c>
      <c r="V130" s="4">
        <v>0.6</v>
      </c>
      <c r="W130" s="4">
        <v>0.2</v>
      </c>
      <c r="X130" s="4">
        <v>0</v>
      </c>
      <c r="Y130" s="8">
        <v>0</v>
      </c>
      <c r="Z130" s="8">
        <v>0</v>
      </c>
      <c r="AA130" s="8">
        <v>0</v>
      </c>
      <c r="AB130" s="8">
        <v>0</v>
      </c>
    </row>
    <row r="131" spans="1:28" x14ac:dyDescent="0.25">
      <c r="A131" s="3" t="str">
        <f>CONCATENATE(BOM[[#This Row],[Code Modèle]],BOM[[#This Row],[Code Dimensions]],"(",BOM[[#This Row],[Code Type De Finition]],")","-",BOM[[#This Row],[Code Nombre de couleur]])</f>
        <v>NAT1824(OU)-T</v>
      </c>
      <c r="B131" s="4" t="s">
        <v>164</v>
      </c>
      <c r="C131" s="4" t="s">
        <v>165</v>
      </c>
      <c r="D131" s="4" t="s">
        <v>224</v>
      </c>
      <c r="E131" s="4" t="s">
        <v>165</v>
      </c>
      <c r="F131" s="4" t="s">
        <v>78</v>
      </c>
      <c r="G131" s="7" t="s">
        <v>199</v>
      </c>
      <c r="H131" s="4" t="s">
        <v>252</v>
      </c>
      <c r="I131" s="4" t="s">
        <v>250</v>
      </c>
      <c r="J131" s="4">
        <v>1</v>
      </c>
      <c r="K131" s="4" t="s">
        <v>234</v>
      </c>
      <c r="L131" s="4" t="s">
        <v>235</v>
      </c>
      <c r="M131" s="4">
        <v>180</v>
      </c>
      <c r="N131" s="4">
        <v>240</v>
      </c>
      <c r="O131" s="4" t="s">
        <v>47</v>
      </c>
      <c r="P131" s="4" t="s">
        <v>48</v>
      </c>
      <c r="Q131" s="4" t="s">
        <v>46</v>
      </c>
      <c r="R131" s="4" t="s">
        <v>241</v>
      </c>
      <c r="S131" s="4">
        <v>10.5</v>
      </c>
      <c r="T131" s="4">
        <f>BOM[[#This Row],[Longueur Tissage]]*BOM[[#This Row],[Duite Par Cm]]</f>
        <v>2520</v>
      </c>
      <c r="U131" s="8">
        <v>0.45</v>
      </c>
      <c r="V131" s="8">
        <v>0.45</v>
      </c>
      <c r="W131" s="8">
        <v>0.15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</row>
    <row r="132" spans="1:28" x14ac:dyDescent="0.25">
      <c r="A132" s="3" t="str">
        <f>CONCATENATE(BOM[[#This Row],[Code Modèle]],BOM[[#This Row],[Code Dimensions]],"(",BOM[[#This Row],[Code Type De Finition]],")","-",BOM[[#This Row],[Code Nombre de couleur]])</f>
        <v>NAT2030(OU)-T</v>
      </c>
      <c r="B132" s="4" t="s">
        <v>164</v>
      </c>
      <c r="C132" s="4" t="s">
        <v>165</v>
      </c>
      <c r="D132" s="4" t="s">
        <v>224</v>
      </c>
      <c r="E132" s="4" t="s">
        <v>165</v>
      </c>
      <c r="F132" s="4" t="s">
        <v>51</v>
      </c>
      <c r="G132" s="7">
        <v>2030</v>
      </c>
      <c r="H132" s="4" t="s">
        <v>252</v>
      </c>
      <c r="I132" s="4" t="s">
        <v>250</v>
      </c>
      <c r="J132" s="4">
        <v>1</v>
      </c>
      <c r="K132" s="4" t="s">
        <v>234</v>
      </c>
      <c r="L132" s="4" t="s">
        <v>235</v>
      </c>
      <c r="M132" s="4">
        <v>200</v>
      </c>
      <c r="N132" s="4">
        <v>300</v>
      </c>
      <c r="O132" s="4" t="s">
        <v>47</v>
      </c>
      <c r="P132" s="4" t="s">
        <v>48</v>
      </c>
      <c r="Q132" s="4" t="s">
        <v>46</v>
      </c>
      <c r="R132" s="4" t="s">
        <v>241</v>
      </c>
      <c r="S132" s="4">
        <v>10.5</v>
      </c>
      <c r="T132" s="4">
        <f>BOM[[#This Row],[Longueur Tissage]]*BOM[[#This Row],[Duite Par Cm]]</f>
        <v>3150</v>
      </c>
      <c r="U132" s="9">
        <v>0.75</v>
      </c>
      <c r="V132" s="9">
        <v>0.75</v>
      </c>
      <c r="W132" s="9">
        <v>0.22500000000000001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</row>
    <row r="133" spans="1:28" x14ac:dyDescent="0.25">
      <c r="A133" s="3" t="str">
        <f>CONCATENATE(BOM[[#This Row],[Code Modèle]],BOM[[#This Row],[Code Dimensions]],"(",BOM[[#This Row],[Code Type De Finition]],")","-",BOM[[#This Row],[Code Nombre de couleur]])</f>
        <v>NA1824(FR)-B</v>
      </c>
      <c r="B133" s="4" t="s">
        <v>168</v>
      </c>
      <c r="C133" s="4" t="s">
        <v>169</v>
      </c>
      <c r="D133" s="4" t="s">
        <v>224</v>
      </c>
      <c r="E133" s="4" t="s">
        <v>228</v>
      </c>
      <c r="F133" s="4" t="s">
        <v>78</v>
      </c>
      <c r="G133" s="7" t="s">
        <v>199</v>
      </c>
      <c r="H133" s="4" t="s">
        <v>252</v>
      </c>
      <c r="I133" s="4" t="s">
        <v>250</v>
      </c>
      <c r="J133" s="4">
        <v>1</v>
      </c>
      <c r="K133" s="4" t="s">
        <v>236</v>
      </c>
      <c r="L133" s="4" t="s">
        <v>42</v>
      </c>
      <c r="M133" s="4">
        <v>180</v>
      </c>
      <c r="N133" s="4">
        <v>280</v>
      </c>
      <c r="O133" s="4" t="s">
        <v>44</v>
      </c>
      <c r="P133" s="4" t="s">
        <v>45</v>
      </c>
      <c r="Q133" s="4" t="s">
        <v>46</v>
      </c>
      <c r="R133" s="4" t="s">
        <v>241</v>
      </c>
      <c r="S133" s="4">
        <v>17.5</v>
      </c>
      <c r="T133" s="4">
        <f>BOM[[#This Row],[Longueur Tissage]]*BOM[[#This Row],[Duite Par Cm]]</f>
        <v>4900</v>
      </c>
      <c r="U133" s="9">
        <v>0.5</v>
      </c>
      <c r="V133" s="9">
        <v>0.5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</row>
    <row r="134" spans="1:28" x14ac:dyDescent="0.25">
      <c r="A134" s="3" t="str">
        <f>CONCATENATE(BOM[[#This Row],[Code Modèle]],BOM[[#This Row],[Code Dimensions]],"(",BOM[[#This Row],[Code Type De Finition]],")","-",BOM[[#This Row],[Code Nombre de couleur]])</f>
        <v>NA2426(FR)-B</v>
      </c>
      <c r="B134" s="4" t="s">
        <v>168</v>
      </c>
      <c r="C134" s="4" t="s">
        <v>169</v>
      </c>
      <c r="D134" s="4" t="s">
        <v>224</v>
      </c>
      <c r="E134" s="4" t="s">
        <v>228</v>
      </c>
      <c r="F134" s="4" t="s">
        <v>52</v>
      </c>
      <c r="G134" s="7">
        <v>2426</v>
      </c>
      <c r="H134" s="4" t="s">
        <v>252</v>
      </c>
      <c r="I134" s="4" t="s">
        <v>250</v>
      </c>
      <c r="J134" s="4">
        <v>1</v>
      </c>
      <c r="K134" s="4" t="s">
        <v>236</v>
      </c>
      <c r="L134" s="4" t="s">
        <v>42</v>
      </c>
      <c r="M134" s="4">
        <v>240</v>
      </c>
      <c r="N134" s="4">
        <v>300</v>
      </c>
      <c r="O134" s="4" t="s">
        <v>44</v>
      </c>
      <c r="P134" s="4" t="s">
        <v>45</v>
      </c>
      <c r="Q134" s="4" t="s">
        <v>46</v>
      </c>
      <c r="R134" s="4" t="s">
        <v>241</v>
      </c>
      <c r="S134" s="10">
        <v>17.600000000000001</v>
      </c>
      <c r="T134" s="4">
        <f>BOM[[#This Row],[Longueur Tissage]]*BOM[[#This Row],[Duite Par Cm]]</f>
        <v>5280</v>
      </c>
      <c r="U134" s="9">
        <v>0.9</v>
      </c>
      <c r="V134" s="9">
        <v>0.9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</row>
    <row r="135" spans="1:28" x14ac:dyDescent="0.25">
      <c r="A135" s="3" t="str">
        <f>CONCATENATE(BOM[[#This Row],[Code Modèle]],BOM[[#This Row],[Code Dimensions]],"(",BOM[[#This Row],[Code Type De Finition]],")","-",BOM[[#This Row],[Code Nombre de couleur]])</f>
        <v>NA2430(FR)-B</v>
      </c>
      <c r="B135" s="4" t="s">
        <v>168</v>
      </c>
      <c r="C135" s="4" t="s">
        <v>169</v>
      </c>
      <c r="D135" s="4" t="s">
        <v>224</v>
      </c>
      <c r="E135" s="4" t="s">
        <v>228</v>
      </c>
      <c r="F135" s="4" t="s">
        <v>136</v>
      </c>
      <c r="G135" s="7">
        <v>2430</v>
      </c>
      <c r="H135" s="4" t="s">
        <v>252</v>
      </c>
      <c r="I135" s="4" t="s">
        <v>250</v>
      </c>
      <c r="J135" s="4">
        <v>1</v>
      </c>
      <c r="K135" s="4" t="s">
        <v>236</v>
      </c>
      <c r="L135" s="4" t="s">
        <v>42</v>
      </c>
      <c r="M135" s="4">
        <v>240</v>
      </c>
      <c r="N135" s="4">
        <v>340</v>
      </c>
      <c r="O135" s="4" t="s">
        <v>44</v>
      </c>
      <c r="P135" s="4" t="s">
        <v>45</v>
      </c>
      <c r="Q135" s="4" t="s">
        <v>46</v>
      </c>
      <c r="R135" s="4" t="s">
        <v>241</v>
      </c>
      <c r="S135" s="10">
        <v>17.600000000000001</v>
      </c>
      <c r="T135" s="4">
        <f>BOM[[#This Row],[Longueur Tissage]]*BOM[[#This Row],[Duite Par Cm]]</f>
        <v>5984.0000000000009</v>
      </c>
      <c r="U135" s="9">
        <v>1</v>
      </c>
      <c r="V135" s="9">
        <v>1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</row>
    <row r="136" spans="1:28" x14ac:dyDescent="0.25">
      <c r="A136" s="3" t="str">
        <f>CONCATENATE(BOM[[#This Row],[Code Modèle]],BOM[[#This Row],[Code Dimensions]],"(",BOM[[#This Row],[Code Type De Finition]],")","-",BOM[[#This Row],[Code Nombre de couleur]])</f>
        <v>NA1824(FR)-T</v>
      </c>
      <c r="B136" s="4" t="s">
        <v>168</v>
      </c>
      <c r="C136" s="4" t="s">
        <v>169</v>
      </c>
      <c r="D136" s="4" t="s">
        <v>224</v>
      </c>
      <c r="E136" s="4" t="s">
        <v>228</v>
      </c>
      <c r="F136" s="4" t="s">
        <v>78</v>
      </c>
      <c r="G136" s="7" t="s">
        <v>199</v>
      </c>
      <c r="H136" s="4" t="s">
        <v>252</v>
      </c>
      <c r="I136" s="4" t="s">
        <v>250</v>
      </c>
      <c r="J136" s="4">
        <v>1</v>
      </c>
      <c r="K136" s="4" t="s">
        <v>236</v>
      </c>
      <c r="L136" s="4" t="s">
        <v>42</v>
      </c>
      <c r="M136" s="4">
        <v>180</v>
      </c>
      <c r="N136" s="4">
        <v>280</v>
      </c>
      <c r="O136" s="4" t="s">
        <v>47</v>
      </c>
      <c r="P136" s="4" t="s">
        <v>48</v>
      </c>
      <c r="Q136" s="4" t="s">
        <v>46</v>
      </c>
      <c r="R136" s="4" t="s">
        <v>241</v>
      </c>
      <c r="S136" s="4">
        <v>17.5</v>
      </c>
      <c r="T136" s="4">
        <f>BOM[[#This Row],[Longueur Tissage]]*BOM[[#This Row],[Duite Par Cm]]</f>
        <v>4900</v>
      </c>
      <c r="U136" s="8">
        <v>0.25</v>
      </c>
      <c r="V136" s="8">
        <v>0.25</v>
      </c>
      <c r="W136" s="9">
        <v>0.5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</row>
    <row r="137" spans="1:28" x14ac:dyDescent="0.25">
      <c r="A137" s="3" t="str">
        <f>CONCATENATE(BOM[[#This Row],[Code Modèle]],BOM[[#This Row],[Code Dimensions]],"(",BOM[[#This Row],[Code Type De Finition]],")","-",BOM[[#This Row],[Code Nombre de couleur]])</f>
        <v>NA2426(FR)-T</v>
      </c>
      <c r="B137" s="4" t="s">
        <v>168</v>
      </c>
      <c r="C137" s="4" t="s">
        <v>169</v>
      </c>
      <c r="D137" s="4" t="s">
        <v>224</v>
      </c>
      <c r="E137" s="4" t="s">
        <v>228</v>
      </c>
      <c r="F137" s="4" t="s">
        <v>52</v>
      </c>
      <c r="G137" s="7">
        <v>2426</v>
      </c>
      <c r="H137" s="4" t="s">
        <v>252</v>
      </c>
      <c r="I137" s="4" t="s">
        <v>250</v>
      </c>
      <c r="J137" s="4">
        <v>1</v>
      </c>
      <c r="K137" s="4" t="s">
        <v>236</v>
      </c>
      <c r="L137" s="4" t="s">
        <v>42</v>
      </c>
      <c r="M137" s="4">
        <v>240</v>
      </c>
      <c r="N137" s="4">
        <v>300</v>
      </c>
      <c r="O137" s="4" t="s">
        <v>47</v>
      </c>
      <c r="P137" s="4" t="s">
        <v>48</v>
      </c>
      <c r="Q137" s="4" t="s">
        <v>46</v>
      </c>
      <c r="R137" s="4" t="s">
        <v>241</v>
      </c>
      <c r="S137" s="10">
        <v>17.600000000000001</v>
      </c>
      <c r="T137" s="4">
        <f>BOM[[#This Row],[Longueur Tissage]]*BOM[[#This Row],[Duite Par Cm]]</f>
        <v>5280</v>
      </c>
      <c r="U137" s="8">
        <v>0.45</v>
      </c>
      <c r="V137" s="8">
        <v>0.45</v>
      </c>
      <c r="W137" s="9">
        <v>0.9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</row>
    <row r="138" spans="1:28" x14ac:dyDescent="0.25">
      <c r="A138" s="3" t="str">
        <f>CONCATENATE(BOM[[#This Row],[Code Modèle]],BOM[[#This Row],[Code Dimensions]],"(",BOM[[#This Row],[Code Type De Finition]],")","-",BOM[[#This Row],[Code Nombre de couleur]])</f>
        <v>NA2430(FR)-T</v>
      </c>
      <c r="B138" s="4" t="s">
        <v>168</v>
      </c>
      <c r="C138" s="4" t="s">
        <v>169</v>
      </c>
      <c r="D138" s="4" t="s">
        <v>224</v>
      </c>
      <c r="E138" s="4" t="s">
        <v>228</v>
      </c>
      <c r="F138" s="4" t="s">
        <v>136</v>
      </c>
      <c r="G138" s="7">
        <v>2430</v>
      </c>
      <c r="H138" s="4" t="s">
        <v>252</v>
      </c>
      <c r="I138" s="4" t="s">
        <v>250</v>
      </c>
      <c r="J138" s="4">
        <v>1</v>
      </c>
      <c r="K138" s="4" t="s">
        <v>236</v>
      </c>
      <c r="L138" s="4" t="s">
        <v>42</v>
      </c>
      <c r="M138" s="4">
        <v>240</v>
      </c>
      <c r="N138" s="4">
        <v>340</v>
      </c>
      <c r="O138" s="4" t="s">
        <v>47</v>
      </c>
      <c r="P138" s="4" t="s">
        <v>48</v>
      </c>
      <c r="Q138" s="4" t="s">
        <v>46</v>
      </c>
      <c r="R138" s="4" t="s">
        <v>241</v>
      </c>
      <c r="S138" s="10">
        <v>17.600000000000001</v>
      </c>
      <c r="T138" s="4">
        <f>BOM[[#This Row],[Longueur Tissage]]*BOM[[#This Row],[Duite Par Cm]]</f>
        <v>5984.0000000000009</v>
      </c>
      <c r="U138" s="8">
        <v>0.5</v>
      </c>
      <c r="V138" s="8">
        <v>0.5</v>
      </c>
      <c r="W138" s="9">
        <v>1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</row>
    <row r="139" spans="1:28" x14ac:dyDescent="0.25">
      <c r="A139" s="3" t="str">
        <f>CONCATENATE(BOM[[#This Row],[Code Modèle]],BOM[[#This Row],[Code Dimensions]],"(",BOM[[#This Row],[Code Type De Finition]],")","-",BOM[[#This Row],[Code Nombre de couleur]])</f>
        <v>NA1824(OU)-B</v>
      </c>
      <c r="B139" s="4" t="s">
        <v>168</v>
      </c>
      <c r="C139" s="4" t="s">
        <v>169</v>
      </c>
      <c r="D139" s="4" t="s">
        <v>224</v>
      </c>
      <c r="E139" s="4" t="s">
        <v>228</v>
      </c>
      <c r="F139" s="4" t="s">
        <v>78</v>
      </c>
      <c r="G139" s="7" t="s">
        <v>199</v>
      </c>
      <c r="H139" s="4" t="s">
        <v>252</v>
      </c>
      <c r="I139" s="4" t="s">
        <v>250</v>
      </c>
      <c r="J139" s="4">
        <v>1</v>
      </c>
      <c r="K139" s="4" t="s">
        <v>234</v>
      </c>
      <c r="L139" s="4" t="s">
        <v>235</v>
      </c>
      <c r="M139" s="4">
        <v>180</v>
      </c>
      <c r="N139" s="4">
        <v>240</v>
      </c>
      <c r="O139" s="4" t="s">
        <v>44</v>
      </c>
      <c r="P139" s="4" t="s">
        <v>45</v>
      </c>
      <c r="Q139" s="4" t="s">
        <v>46</v>
      </c>
      <c r="R139" s="4" t="s">
        <v>241</v>
      </c>
      <c r="S139" s="4">
        <v>17.5</v>
      </c>
      <c r="T139" s="4">
        <f>BOM[[#This Row],[Longueur Tissage]]*BOM[[#This Row],[Duite Par Cm]]</f>
        <v>4200</v>
      </c>
      <c r="U139" s="9">
        <v>0.5</v>
      </c>
      <c r="V139" s="9">
        <v>0.5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</row>
    <row r="140" spans="1:28" x14ac:dyDescent="0.25">
      <c r="A140" s="3" t="str">
        <f>CONCATENATE(BOM[[#This Row],[Code Modèle]],BOM[[#This Row],[Code Dimensions]],"(",BOM[[#This Row],[Code Type De Finition]],")","-",BOM[[#This Row],[Code Nombre de couleur]])</f>
        <v>NA2426(OU)-B</v>
      </c>
      <c r="B140" s="4" t="s">
        <v>168</v>
      </c>
      <c r="C140" s="4" t="s">
        <v>169</v>
      </c>
      <c r="D140" s="4" t="s">
        <v>224</v>
      </c>
      <c r="E140" s="4" t="s">
        <v>228</v>
      </c>
      <c r="F140" s="4" t="s">
        <v>52</v>
      </c>
      <c r="G140" s="7">
        <v>2426</v>
      </c>
      <c r="H140" s="4" t="s">
        <v>252</v>
      </c>
      <c r="I140" s="4" t="s">
        <v>250</v>
      </c>
      <c r="J140" s="4">
        <v>1</v>
      </c>
      <c r="K140" s="4" t="s">
        <v>234</v>
      </c>
      <c r="L140" s="4" t="s">
        <v>235</v>
      </c>
      <c r="M140" s="4">
        <v>240</v>
      </c>
      <c r="N140" s="4">
        <v>260</v>
      </c>
      <c r="O140" s="4" t="s">
        <v>44</v>
      </c>
      <c r="P140" s="4" t="s">
        <v>45</v>
      </c>
      <c r="Q140" s="4" t="s">
        <v>46</v>
      </c>
      <c r="R140" s="4" t="s">
        <v>241</v>
      </c>
      <c r="S140" s="10">
        <v>17.600000000000001</v>
      </c>
      <c r="T140" s="4">
        <f>BOM[[#This Row],[Longueur Tissage]]*BOM[[#This Row],[Duite Par Cm]]</f>
        <v>4576</v>
      </c>
      <c r="U140" s="9">
        <v>0.9</v>
      </c>
      <c r="V140" s="9">
        <v>0.9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</row>
    <row r="141" spans="1:28" x14ac:dyDescent="0.25">
      <c r="A141" s="3" t="str">
        <f>CONCATENATE(BOM[[#This Row],[Code Modèle]],BOM[[#This Row],[Code Dimensions]],"(",BOM[[#This Row],[Code Type De Finition]],")","-",BOM[[#This Row],[Code Nombre de couleur]])</f>
        <v>NA2430(OU)-B</v>
      </c>
      <c r="B141" s="4" t="s">
        <v>168</v>
      </c>
      <c r="C141" s="4" t="s">
        <v>169</v>
      </c>
      <c r="D141" s="4" t="s">
        <v>224</v>
      </c>
      <c r="E141" s="4" t="s">
        <v>228</v>
      </c>
      <c r="F141" s="4" t="s">
        <v>136</v>
      </c>
      <c r="G141" s="7">
        <v>2430</v>
      </c>
      <c r="H141" s="4" t="s">
        <v>252</v>
      </c>
      <c r="I141" s="4" t="s">
        <v>250</v>
      </c>
      <c r="J141" s="4">
        <v>1</v>
      </c>
      <c r="K141" s="4" t="s">
        <v>234</v>
      </c>
      <c r="L141" s="4" t="s">
        <v>235</v>
      </c>
      <c r="M141" s="4">
        <v>240</v>
      </c>
      <c r="N141" s="4">
        <v>300</v>
      </c>
      <c r="O141" s="4" t="s">
        <v>44</v>
      </c>
      <c r="P141" s="4" t="s">
        <v>45</v>
      </c>
      <c r="Q141" s="4" t="s">
        <v>46</v>
      </c>
      <c r="R141" s="4" t="s">
        <v>241</v>
      </c>
      <c r="S141" s="10">
        <v>17.600000000000001</v>
      </c>
      <c r="T141" s="4">
        <f>BOM[[#This Row],[Longueur Tissage]]*BOM[[#This Row],[Duite Par Cm]]</f>
        <v>5280</v>
      </c>
      <c r="U141" s="9">
        <v>1</v>
      </c>
      <c r="V141" s="9">
        <v>1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</row>
    <row r="142" spans="1:28" x14ac:dyDescent="0.25">
      <c r="A142" s="3" t="str">
        <f>CONCATENATE(BOM[[#This Row],[Code Modèle]],BOM[[#This Row],[Code Dimensions]],"(",BOM[[#This Row],[Code Type De Finition]],")","-",BOM[[#This Row],[Code Nombre de couleur]])</f>
        <v>NA1824(OU)-T</v>
      </c>
      <c r="B142" s="4" t="s">
        <v>168</v>
      </c>
      <c r="C142" s="4" t="s">
        <v>169</v>
      </c>
      <c r="D142" s="4" t="s">
        <v>224</v>
      </c>
      <c r="E142" s="4" t="s">
        <v>228</v>
      </c>
      <c r="F142" s="4" t="s">
        <v>78</v>
      </c>
      <c r="G142" s="7" t="s">
        <v>199</v>
      </c>
      <c r="H142" s="4" t="s">
        <v>252</v>
      </c>
      <c r="I142" s="4" t="s">
        <v>250</v>
      </c>
      <c r="J142" s="4">
        <v>1</v>
      </c>
      <c r="K142" s="4" t="s">
        <v>234</v>
      </c>
      <c r="L142" s="4" t="s">
        <v>235</v>
      </c>
      <c r="M142" s="4">
        <v>180</v>
      </c>
      <c r="N142" s="4">
        <v>240</v>
      </c>
      <c r="O142" s="4" t="s">
        <v>47</v>
      </c>
      <c r="P142" s="4" t="s">
        <v>48</v>
      </c>
      <c r="Q142" s="4" t="s">
        <v>46</v>
      </c>
      <c r="R142" s="4" t="s">
        <v>241</v>
      </c>
      <c r="S142" s="4">
        <v>17.5</v>
      </c>
      <c r="T142" s="4">
        <f>BOM[[#This Row],[Longueur Tissage]]*BOM[[#This Row],[Duite Par Cm]]</f>
        <v>4200</v>
      </c>
      <c r="U142" s="8">
        <v>0.25</v>
      </c>
      <c r="V142" s="8">
        <v>0.25</v>
      </c>
      <c r="W142" s="9">
        <v>0.5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</row>
    <row r="143" spans="1:28" x14ac:dyDescent="0.25">
      <c r="A143" s="3" t="str">
        <f>CONCATENATE(BOM[[#This Row],[Code Modèle]],BOM[[#This Row],[Code Dimensions]],"(",BOM[[#This Row],[Code Type De Finition]],")","-",BOM[[#This Row],[Code Nombre de couleur]])</f>
        <v>NA2426(OU)-T</v>
      </c>
      <c r="B143" s="4" t="s">
        <v>168</v>
      </c>
      <c r="C143" s="4" t="s">
        <v>169</v>
      </c>
      <c r="D143" s="4" t="s">
        <v>224</v>
      </c>
      <c r="E143" s="4" t="s">
        <v>228</v>
      </c>
      <c r="F143" s="4" t="s">
        <v>52</v>
      </c>
      <c r="G143" s="7">
        <v>2426</v>
      </c>
      <c r="H143" s="4" t="s">
        <v>252</v>
      </c>
      <c r="I143" s="4" t="s">
        <v>250</v>
      </c>
      <c r="J143" s="4">
        <v>1</v>
      </c>
      <c r="K143" s="4" t="s">
        <v>234</v>
      </c>
      <c r="L143" s="4" t="s">
        <v>235</v>
      </c>
      <c r="M143" s="4">
        <v>240</v>
      </c>
      <c r="N143" s="4">
        <v>260</v>
      </c>
      <c r="O143" s="4" t="s">
        <v>47</v>
      </c>
      <c r="P143" s="4" t="s">
        <v>48</v>
      </c>
      <c r="Q143" s="4" t="s">
        <v>46</v>
      </c>
      <c r="R143" s="4" t="s">
        <v>241</v>
      </c>
      <c r="S143" s="10">
        <v>17.600000000000001</v>
      </c>
      <c r="T143" s="4">
        <f>BOM[[#This Row],[Longueur Tissage]]*BOM[[#This Row],[Duite Par Cm]]</f>
        <v>4576</v>
      </c>
      <c r="U143" s="8">
        <v>0.45</v>
      </c>
      <c r="V143" s="8">
        <v>0.45</v>
      </c>
      <c r="W143" s="9">
        <v>0.9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</row>
    <row r="144" spans="1:28" x14ac:dyDescent="0.25">
      <c r="A144" s="3" t="str">
        <f>CONCATENATE(BOM[[#This Row],[Code Modèle]],BOM[[#This Row],[Code Dimensions]],"(",BOM[[#This Row],[Code Type De Finition]],")","-",BOM[[#This Row],[Code Nombre de couleur]])</f>
        <v>NA2430(OU)-T</v>
      </c>
      <c r="B144" s="4" t="s">
        <v>168</v>
      </c>
      <c r="C144" s="4" t="s">
        <v>169</v>
      </c>
      <c r="D144" s="4" t="s">
        <v>224</v>
      </c>
      <c r="E144" s="4" t="s">
        <v>228</v>
      </c>
      <c r="F144" s="4" t="s">
        <v>136</v>
      </c>
      <c r="G144" s="7">
        <v>2430</v>
      </c>
      <c r="H144" s="4" t="s">
        <v>252</v>
      </c>
      <c r="I144" s="4" t="s">
        <v>250</v>
      </c>
      <c r="J144" s="4">
        <v>1</v>
      </c>
      <c r="K144" s="4" t="s">
        <v>234</v>
      </c>
      <c r="L144" s="4" t="s">
        <v>235</v>
      </c>
      <c r="M144" s="4">
        <v>240</v>
      </c>
      <c r="N144" s="4">
        <v>300</v>
      </c>
      <c r="O144" s="4" t="s">
        <v>47</v>
      </c>
      <c r="P144" s="4" t="s">
        <v>48</v>
      </c>
      <c r="Q144" s="4" t="s">
        <v>46</v>
      </c>
      <c r="R144" s="4" t="s">
        <v>241</v>
      </c>
      <c r="S144" s="10">
        <v>17.600000000000001</v>
      </c>
      <c r="T144" s="4">
        <f>BOM[[#This Row],[Longueur Tissage]]*BOM[[#This Row],[Duite Par Cm]]</f>
        <v>5280</v>
      </c>
      <c r="U144" s="8">
        <v>0.5</v>
      </c>
      <c r="V144" s="8">
        <v>0.5</v>
      </c>
      <c r="W144" s="9">
        <v>1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</row>
    <row r="145" spans="1:28" x14ac:dyDescent="0.25">
      <c r="A145" s="3" t="str">
        <f>CONCATENATE(BOM[[#This Row],[Code Modèle]],BOM[[#This Row],[Code Dimensions]],"(",BOM[[#This Row],[Code Type De Finition]],")","-",BOM[[#This Row],[Code Nombre de couleur]])</f>
        <v>GIN1824(OU)-B</v>
      </c>
      <c r="B145" s="4" t="s">
        <v>170</v>
      </c>
      <c r="C145" s="4" t="s">
        <v>171</v>
      </c>
      <c r="D145" s="4" t="s">
        <v>224</v>
      </c>
      <c r="E145" s="4" t="s">
        <v>228</v>
      </c>
      <c r="F145" s="4" t="s">
        <v>78</v>
      </c>
      <c r="G145" s="7" t="s">
        <v>199</v>
      </c>
      <c r="H145" s="4" t="s">
        <v>252</v>
      </c>
      <c r="I145" s="4" t="s">
        <v>250</v>
      </c>
      <c r="J145" s="4">
        <v>1</v>
      </c>
      <c r="K145" s="4" t="s">
        <v>234</v>
      </c>
      <c r="L145" s="4" t="s">
        <v>235</v>
      </c>
      <c r="M145" s="4">
        <v>180</v>
      </c>
      <c r="N145" s="4">
        <v>240</v>
      </c>
      <c r="O145" s="4" t="s">
        <v>44</v>
      </c>
      <c r="P145" s="4" t="s">
        <v>45</v>
      </c>
      <c r="Q145" s="4" t="s">
        <v>46</v>
      </c>
      <c r="R145" s="4" t="s">
        <v>241</v>
      </c>
      <c r="S145" s="4">
        <v>17.600000000000001</v>
      </c>
      <c r="T145" s="4">
        <f>BOM[[#This Row],[Longueur Tissage]]*BOM[[#This Row],[Duite Par Cm]]</f>
        <v>4224</v>
      </c>
      <c r="U145" s="8"/>
      <c r="V145" s="8"/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</row>
    <row r="146" spans="1:28" x14ac:dyDescent="0.25">
      <c r="A146" s="3" t="str">
        <f>CONCATENATE(BOM[[#This Row],[Code Modèle]],BOM[[#This Row],[Code Dimensions]],"(",BOM[[#This Row],[Code Type De Finition]],")","-",BOM[[#This Row],[Code Nombre de couleur]])</f>
        <v>GIN2426(OU)-B</v>
      </c>
      <c r="B146" s="4" t="s">
        <v>170</v>
      </c>
      <c r="C146" s="4" t="s">
        <v>171</v>
      </c>
      <c r="D146" s="4" t="s">
        <v>224</v>
      </c>
      <c r="E146" s="4" t="s">
        <v>228</v>
      </c>
      <c r="F146" s="4" t="s">
        <v>52</v>
      </c>
      <c r="G146" s="7">
        <v>2426</v>
      </c>
      <c r="H146" s="4" t="s">
        <v>252</v>
      </c>
      <c r="I146" s="4" t="s">
        <v>250</v>
      </c>
      <c r="J146" s="4">
        <v>1</v>
      </c>
      <c r="K146" s="4" t="s">
        <v>234</v>
      </c>
      <c r="L146" s="4" t="s">
        <v>235</v>
      </c>
      <c r="M146" s="4">
        <v>240</v>
      </c>
      <c r="N146" s="4">
        <v>260</v>
      </c>
      <c r="O146" s="4" t="s">
        <v>44</v>
      </c>
      <c r="P146" s="4" t="s">
        <v>45</v>
      </c>
      <c r="Q146" s="4" t="s">
        <v>46</v>
      </c>
      <c r="R146" s="4" t="s">
        <v>241</v>
      </c>
      <c r="S146" s="4">
        <v>17.600000000000001</v>
      </c>
      <c r="T146" s="4">
        <f>BOM[[#This Row],[Longueur Tissage]]*BOM[[#This Row],[Duite Par Cm]]</f>
        <v>4576</v>
      </c>
      <c r="U146" s="8">
        <v>1.45</v>
      </c>
      <c r="V146" s="8">
        <v>0.95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</row>
    <row r="147" spans="1:28" x14ac:dyDescent="0.25">
      <c r="A147" s="3" t="str">
        <f>CONCATENATE(BOM[[#This Row],[Code Modèle]],BOM[[#This Row],[Code Dimensions]],"(",BOM[[#This Row],[Code Type De Finition]],")","-",BOM[[#This Row],[Code Nombre de couleur]])</f>
        <v>GIN2430(OU)-B</v>
      </c>
      <c r="B147" s="4" t="s">
        <v>170</v>
      </c>
      <c r="C147" s="4" t="s">
        <v>171</v>
      </c>
      <c r="D147" s="4" t="s">
        <v>224</v>
      </c>
      <c r="E147" s="4" t="s">
        <v>228</v>
      </c>
      <c r="F147" s="4" t="s">
        <v>136</v>
      </c>
      <c r="G147" s="7">
        <v>2430</v>
      </c>
      <c r="H147" s="4" t="s">
        <v>252</v>
      </c>
      <c r="I147" s="4" t="s">
        <v>250</v>
      </c>
      <c r="J147" s="4">
        <v>1</v>
      </c>
      <c r="K147" s="4" t="s">
        <v>234</v>
      </c>
      <c r="L147" s="4" t="s">
        <v>235</v>
      </c>
      <c r="M147" s="4">
        <v>240</v>
      </c>
      <c r="N147" s="4">
        <v>300</v>
      </c>
      <c r="O147" s="4" t="s">
        <v>44</v>
      </c>
      <c r="P147" s="4" t="s">
        <v>45</v>
      </c>
      <c r="Q147" s="4" t="s">
        <v>46</v>
      </c>
      <c r="R147" s="4" t="s">
        <v>241</v>
      </c>
      <c r="S147" s="4">
        <v>17.600000000000001</v>
      </c>
      <c r="T147" s="4">
        <f>BOM[[#This Row],[Longueur Tissage]]*BOM[[#This Row],[Duite Par Cm]]</f>
        <v>5280</v>
      </c>
      <c r="U147" s="9">
        <v>1.54</v>
      </c>
      <c r="V147" s="9">
        <v>1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</row>
    <row r="148" spans="1:28" x14ac:dyDescent="0.25">
      <c r="A148" s="3" t="str">
        <f>CONCATENATE(BOM[[#This Row],[Code Modèle]],BOM[[#This Row],[Code Dimensions]],"(",BOM[[#This Row],[Code Type De Finition]],")","-",BOM[[#This Row],[Code Nombre de couleur]])</f>
        <v>GIN1824(FR)-B</v>
      </c>
      <c r="B148" s="4" t="s">
        <v>170</v>
      </c>
      <c r="C148" s="4" t="s">
        <v>171</v>
      </c>
      <c r="D148" s="4" t="s">
        <v>224</v>
      </c>
      <c r="E148" s="4" t="s">
        <v>228</v>
      </c>
      <c r="F148" s="4" t="s">
        <v>78</v>
      </c>
      <c r="G148" s="7" t="s">
        <v>199</v>
      </c>
      <c r="H148" s="4" t="s">
        <v>252</v>
      </c>
      <c r="I148" s="4" t="s">
        <v>250</v>
      </c>
      <c r="J148" s="4">
        <v>1</v>
      </c>
      <c r="K148" s="4" t="s">
        <v>236</v>
      </c>
      <c r="L148" s="4" t="s">
        <v>42</v>
      </c>
      <c r="M148" s="4">
        <v>180</v>
      </c>
      <c r="N148" s="4">
        <v>280</v>
      </c>
      <c r="O148" s="4" t="s">
        <v>44</v>
      </c>
      <c r="P148" s="4" t="s">
        <v>45</v>
      </c>
      <c r="Q148" s="4" t="s">
        <v>46</v>
      </c>
      <c r="R148" s="4" t="s">
        <v>241</v>
      </c>
      <c r="S148" s="4">
        <v>17.600000000000001</v>
      </c>
      <c r="T148" s="4">
        <f>BOM[[#This Row],[Longueur Tissage]]*BOM[[#This Row],[Duite Par Cm]]</f>
        <v>4928</v>
      </c>
      <c r="U148" s="8"/>
      <c r="V148" s="8"/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</row>
    <row r="149" spans="1:28" x14ac:dyDescent="0.25">
      <c r="A149" s="3" t="str">
        <f>CONCATENATE(BOM[[#This Row],[Code Modèle]],BOM[[#This Row],[Code Dimensions]],"(",BOM[[#This Row],[Code Type De Finition]],")","-",BOM[[#This Row],[Code Nombre de couleur]])</f>
        <v>GIN2426(FR)-B</v>
      </c>
      <c r="B149" s="4" t="s">
        <v>170</v>
      </c>
      <c r="C149" s="4" t="s">
        <v>171</v>
      </c>
      <c r="D149" s="4" t="s">
        <v>224</v>
      </c>
      <c r="E149" s="4" t="s">
        <v>228</v>
      </c>
      <c r="F149" s="4" t="s">
        <v>52</v>
      </c>
      <c r="G149" s="7">
        <v>2426</v>
      </c>
      <c r="H149" s="4" t="s">
        <v>252</v>
      </c>
      <c r="I149" s="4" t="s">
        <v>250</v>
      </c>
      <c r="J149" s="4">
        <v>1</v>
      </c>
      <c r="K149" s="4" t="s">
        <v>236</v>
      </c>
      <c r="L149" s="4" t="s">
        <v>42</v>
      </c>
      <c r="M149" s="4">
        <v>240</v>
      </c>
      <c r="N149" s="4">
        <v>300</v>
      </c>
      <c r="O149" s="4" t="s">
        <v>44</v>
      </c>
      <c r="P149" s="4" t="s">
        <v>45</v>
      </c>
      <c r="Q149" s="4" t="s">
        <v>46</v>
      </c>
      <c r="R149" s="4" t="s">
        <v>241</v>
      </c>
      <c r="S149" s="4">
        <v>17.600000000000001</v>
      </c>
      <c r="T149" s="4">
        <f>BOM[[#This Row],[Longueur Tissage]]*BOM[[#This Row],[Duite Par Cm]]</f>
        <v>5280</v>
      </c>
      <c r="U149" s="8">
        <v>1.45</v>
      </c>
      <c r="V149" s="8">
        <v>0.95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</row>
    <row r="150" spans="1:28" x14ac:dyDescent="0.25">
      <c r="A150" s="3" t="str">
        <f>CONCATENATE(BOM[[#This Row],[Code Modèle]],BOM[[#This Row],[Code Dimensions]],"(",BOM[[#This Row],[Code Type De Finition]],")","-",BOM[[#This Row],[Code Nombre de couleur]])</f>
        <v>GIN2430(FR)-B</v>
      </c>
      <c r="B150" s="4" t="s">
        <v>170</v>
      </c>
      <c r="C150" s="4" t="s">
        <v>171</v>
      </c>
      <c r="D150" s="4" t="s">
        <v>224</v>
      </c>
      <c r="E150" s="4" t="s">
        <v>228</v>
      </c>
      <c r="F150" s="4" t="s">
        <v>136</v>
      </c>
      <c r="G150" s="7">
        <v>2430</v>
      </c>
      <c r="H150" s="4" t="s">
        <v>252</v>
      </c>
      <c r="I150" s="4" t="s">
        <v>250</v>
      </c>
      <c r="J150" s="4">
        <v>1</v>
      </c>
      <c r="K150" s="4" t="s">
        <v>236</v>
      </c>
      <c r="L150" s="4" t="s">
        <v>42</v>
      </c>
      <c r="M150" s="4">
        <v>240</v>
      </c>
      <c r="N150" s="4">
        <v>340</v>
      </c>
      <c r="O150" s="4" t="s">
        <v>44</v>
      </c>
      <c r="P150" s="4" t="s">
        <v>45</v>
      </c>
      <c r="Q150" s="4" t="s">
        <v>46</v>
      </c>
      <c r="R150" s="4" t="s">
        <v>241</v>
      </c>
      <c r="S150" s="4">
        <v>17.600000000000001</v>
      </c>
      <c r="T150" s="4">
        <f>BOM[[#This Row],[Longueur Tissage]]*BOM[[#This Row],[Duite Par Cm]]</f>
        <v>5984.0000000000009</v>
      </c>
      <c r="U150" s="9">
        <v>1.54</v>
      </c>
      <c r="V150" s="9">
        <v>1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</row>
    <row r="151" spans="1:28" x14ac:dyDescent="0.25">
      <c r="A151" s="3" t="str">
        <f>CONCATENATE(BOM[[#This Row],[Code Modèle]],BOM[[#This Row],[Code Dimensions]],"(",BOM[[#This Row],[Code Type De Finition]],")","-",BOM[[#This Row],[Code Nombre de couleur]])</f>
        <v>RON1824(OU)-B</v>
      </c>
      <c r="B151" s="4" t="s">
        <v>172</v>
      </c>
      <c r="C151" s="4" t="s">
        <v>173</v>
      </c>
      <c r="D151" s="4" t="s">
        <v>224</v>
      </c>
      <c r="E151" s="4" t="s">
        <v>228</v>
      </c>
      <c r="F151" s="4" t="s">
        <v>78</v>
      </c>
      <c r="G151" s="7" t="s">
        <v>199</v>
      </c>
      <c r="H151" s="4" t="s">
        <v>252</v>
      </c>
      <c r="I151" s="4" t="s">
        <v>250</v>
      </c>
      <c r="J151" s="4">
        <v>1</v>
      </c>
      <c r="K151" s="4" t="s">
        <v>234</v>
      </c>
      <c r="L151" s="4" t="s">
        <v>235</v>
      </c>
      <c r="M151" s="4">
        <v>180</v>
      </c>
      <c r="N151" s="4">
        <v>240</v>
      </c>
      <c r="O151" s="4" t="s">
        <v>44</v>
      </c>
      <c r="P151" s="4" t="s">
        <v>45</v>
      </c>
      <c r="Q151" s="4" t="s">
        <v>46</v>
      </c>
      <c r="R151" s="4" t="s">
        <v>241</v>
      </c>
      <c r="S151" s="4">
        <v>17.600000000000001</v>
      </c>
      <c r="T151" s="4">
        <f>BOM[[#This Row],[Longueur Tissage]]*BOM[[#This Row],[Duite Par Cm]]</f>
        <v>4224</v>
      </c>
      <c r="U151" s="8"/>
      <c r="V151" s="8"/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</row>
    <row r="152" spans="1:28" x14ac:dyDescent="0.25">
      <c r="A152" s="3" t="str">
        <f>CONCATENATE(BOM[[#This Row],[Code Modèle]],BOM[[#This Row],[Code Dimensions]],"(",BOM[[#This Row],[Code Type De Finition]],")","-",BOM[[#This Row],[Code Nombre de couleur]])</f>
        <v>RON2426(OU)-B</v>
      </c>
      <c r="B152" s="4" t="s">
        <v>172</v>
      </c>
      <c r="C152" s="4" t="s">
        <v>173</v>
      </c>
      <c r="D152" s="4" t="s">
        <v>224</v>
      </c>
      <c r="E152" s="4" t="s">
        <v>228</v>
      </c>
      <c r="F152" s="4" t="s">
        <v>52</v>
      </c>
      <c r="G152" s="7">
        <v>2426</v>
      </c>
      <c r="H152" s="4" t="s">
        <v>252</v>
      </c>
      <c r="I152" s="4" t="s">
        <v>250</v>
      </c>
      <c r="J152" s="4">
        <v>1</v>
      </c>
      <c r="K152" s="4" t="s">
        <v>234</v>
      </c>
      <c r="L152" s="4" t="s">
        <v>235</v>
      </c>
      <c r="M152" s="4">
        <v>240</v>
      </c>
      <c r="N152" s="4">
        <v>260</v>
      </c>
      <c r="O152" s="4" t="s">
        <v>44</v>
      </c>
      <c r="P152" s="4" t="s">
        <v>45</v>
      </c>
      <c r="Q152" s="4" t="s">
        <v>46</v>
      </c>
      <c r="R152" s="4" t="s">
        <v>241</v>
      </c>
      <c r="S152" s="4">
        <v>17.600000000000001</v>
      </c>
      <c r="T152" s="4">
        <f>BOM[[#This Row],[Longueur Tissage]]*BOM[[#This Row],[Duite Par Cm]]</f>
        <v>4576</v>
      </c>
      <c r="U152" s="8">
        <v>0.98</v>
      </c>
      <c r="V152" s="8">
        <v>1.4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</row>
    <row r="153" spans="1:28" x14ac:dyDescent="0.25">
      <c r="A153" s="3" t="str">
        <f>CONCATENATE(BOM[[#This Row],[Code Modèle]],BOM[[#This Row],[Code Dimensions]],"(",BOM[[#This Row],[Code Type De Finition]],")","-",BOM[[#This Row],[Code Nombre de couleur]])</f>
        <v>RON2430(OU)-B</v>
      </c>
      <c r="B153" s="4" t="s">
        <v>172</v>
      </c>
      <c r="C153" s="4" t="s">
        <v>173</v>
      </c>
      <c r="D153" s="4" t="s">
        <v>224</v>
      </c>
      <c r="E153" s="4" t="s">
        <v>228</v>
      </c>
      <c r="F153" s="4" t="s">
        <v>136</v>
      </c>
      <c r="G153" s="7">
        <v>2430</v>
      </c>
      <c r="H153" s="4" t="s">
        <v>252</v>
      </c>
      <c r="I153" s="4" t="s">
        <v>250</v>
      </c>
      <c r="J153" s="4">
        <v>1</v>
      </c>
      <c r="K153" s="4" t="s">
        <v>234</v>
      </c>
      <c r="L153" s="4" t="s">
        <v>235</v>
      </c>
      <c r="M153" s="4">
        <v>240</v>
      </c>
      <c r="N153" s="4">
        <v>300</v>
      </c>
      <c r="O153" s="4" t="s">
        <v>44</v>
      </c>
      <c r="P153" s="4" t="s">
        <v>45</v>
      </c>
      <c r="Q153" s="4" t="s">
        <v>46</v>
      </c>
      <c r="R153" s="4" t="s">
        <v>241</v>
      </c>
      <c r="S153" s="4">
        <v>17.600000000000001</v>
      </c>
      <c r="T153" s="4">
        <f>BOM[[#This Row],[Longueur Tissage]]*BOM[[#This Row],[Duite Par Cm]]</f>
        <v>5280</v>
      </c>
      <c r="U153" s="9">
        <v>1.0409999999999995</v>
      </c>
      <c r="V153" s="11">
        <v>1.4690000000000012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</row>
    <row r="154" spans="1:28" x14ac:dyDescent="0.25">
      <c r="A154" s="3" t="str">
        <f>CONCATENATE(BOM[[#This Row],[Code Modèle]],BOM[[#This Row],[Code Dimensions]],"(",BOM[[#This Row],[Code Type De Finition]],")","-",BOM[[#This Row],[Code Nombre de couleur]])</f>
        <v>RON1824(FR)-B</v>
      </c>
      <c r="B154" s="4" t="s">
        <v>172</v>
      </c>
      <c r="C154" s="4" t="s">
        <v>173</v>
      </c>
      <c r="D154" s="4" t="s">
        <v>224</v>
      </c>
      <c r="E154" s="4" t="s">
        <v>228</v>
      </c>
      <c r="F154" s="4" t="s">
        <v>78</v>
      </c>
      <c r="G154" s="7" t="s">
        <v>199</v>
      </c>
      <c r="H154" s="4" t="s">
        <v>252</v>
      </c>
      <c r="I154" s="4" t="s">
        <v>250</v>
      </c>
      <c r="J154" s="4">
        <v>1</v>
      </c>
      <c r="K154" s="4" t="s">
        <v>236</v>
      </c>
      <c r="L154" s="4" t="s">
        <v>42</v>
      </c>
      <c r="M154" s="4">
        <v>180</v>
      </c>
      <c r="N154" s="4">
        <v>280</v>
      </c>
      <c r="O154" s="4" t="s">
        <v>44</v>
      </c>
      <c r="P154" s="4" t="s">
        <v>45</v>
      </c>
      <c r="Q154" s="4" t="s">
        <v>46</v>
      </c>
      <c r="R154" s="4" t="s">
        <v>241</v>
      </c>
      <c r="S154" s="4">
        <v>17.600000000000001</v>
      </c>
      <c r="T154" s="4">
        <f>BOM[[#This Row],[Longueur Tissage]]*BOM[[#This Row],[Duite Par Cm]]</f>
        <v>4928</v>
      </c>
      <c r="U154" s="8"/>
      <c r="V154" s="8"/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</row>
    <row r="155" spans="1:28" x14ac:dyDescent="0.25">
      <c r="A155" s="3" t="str">
        <f>CONCATENATE(BOM[[#This Row],[Code Modèle]],BOM[[#This Row],[Code Dimensions]],"(",BOM[[#This Row],[Code Type De Finition]],")","-",BOM[[#This Row],[Code Nombre de couleur]])</f>
        <v>RON2426(FR)-B</v>
      </c>
      <c r="B155" s="4" t="s">
        <v>172</v>
      </c>
      <c r="C155" s="4" t="s">
        <v>173</v>
      </c>
      <c r="D155" s="4" t="s">
        <v>224</v>
      </c>
      <c r="E155" s="4" t="s">
        <v>228</v>
      </c>
      <c r="F155" s="4" t="s">
        <v>52</v>
      </c>
      <c r="G155" s="7">
        <v>2426</v>
      </c>
      <c r="H155" s="4" t="s">
        <v>252</v>
      </c>
      <c r="I155" s="4" t="s">
        <v>250</v>
      </c>
      <c r="J155" s="4">
        <v>1</v>
      </c>
      <c r="K155" s="4" t="s">
        <v>236</v>
      </c>
      <c r="L155" s="4" t="s">
        <v>42</v>
      </c>
      <c r="M155" s="4">
        <v>240</v>
      </c>
      <c r="N155" s="4">
        <v>300</v>
      </c>
      <c r="O155" s="4" t="s">
        <v>44</v>
      </c>
      <c r="P155" s="4" t="s">
        <v>45</v>
      </c>
      <c r="Q155" s="4" t="s">
        <v>46</v>
      </c>
      <c r="R155" s="4" t="s">
        <v>241</v>
      </c>
      <c r="S155" s="4">
        <v>17.600000000000001</v>
      </c>
      <c r="T155" s="4">
        <f>BOM[[#This Row],[Longueur Tissage]]*BOM[[#This Row],[Duite Par Cm]]</f>
        <v>5280</v>
      </c>
      <c r="U155" s="8">
        <v>0.98</v>
      </c>
      <c r="V155" s="8">
        <v>1.4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</row>
    <row r="156" spans="1:28" x14ac:dyDescent="0.25">
      <c r="A156" s="3" t="str">
        <f>CONCATENATE(BOM[[#This Row],[Code Modèle]],BOM[[#This Row],[Code Dimensions]],"(",BOM[[#This Row],[Code Type De Finition]],")","-",BOM[[#This Row],[Code Nombre de couleur]])</f>
        <v>RON2430(FR)-B</v>
      </c>
      <c r="B156" s="4" t="s">
        <v>172</v>
      </c>
      <c r="C156" s="4" t="s">
        <v>173</v>
      </c>
      <c r="D156" s="4" t="s">
        <v>224</v>
      </c>
      <c r="E156" s="4" t="s">
        <v>228</v>
      </c>
      <c r="F156" s="4" t="s">
        <v>136</v>
      </c>
      <c r="G156" s="7">
        <v>2430</v>
      </c>
      <c r="H156" s="4" t="s">
        <v>252</v>
      </c>
      <c r="I156" s="4" t="s">
        <v>250</v>
      </c>
      <c r="J156" s="4">
        <v>1</v>
      </c>
      <c r="K156" s="4" t="s">
        <v>236</v>
      </c>
      <c r="L156" s="4" t="s">
        <v>42</v>
      </c>
      <c r="M156" s="4">
        <v>240</v>
      </c>
      <c r="N156" s="4">
        <v>340</v>
      </c>
      <c r="O156" s="4" t="s">
        <v>44</v>
      </c>
      <c r="P156" s="4" t="s">
        <v>45</v>
      </c>
      <c r="Q156" s="4" t="s">
        <v>46</v>
      </c>
      <c r="R156" s="4" t="s">
        <v>241</v>
      </c>
      <c r="S156" s="4">
        <v>17.600000000000001</v>
      </c>
      <c r="T156" s="4">
        <f>BOM[[#This Row],[Longueur Tissage]]*BOM[[#This Row],[Duite Par Cm]]</f>
        <v>5984.0000000000009</v>
      </c>
      <c r="U156" s="9">
        <v>1.0409999999999995</v>
      </c>
      <c r="V156" s="11">
        <v>1.4690000000000012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</row>
    <row r="157" spans="1:28" x14ac:dyDescent="0.25">
      <c r="A157" s="3" t="str">
        <f>CONCATENATE(BOM[[#This Row],[Code Modèle]],BOM[[#This Row],[Code Dimensions]],"(",BOM[[#This Row],[Code Type De Finition]],")","-",BOM[[#This Row],[Code Nombre de couleur]])</f>
        <v>OLI1824(OU)-B</v>
      </c>
      <c r="B157" s="4" t="s">
        <v>174</v>
      </c>
      <c r="C157" s="4" t="s">
        <v>175</v>
      </c>
      <c r="D157" s="4" t="s">
        <v>224</v>
      </c>
      <c r="E157" s="4" t="s">
        <v>228</v>
      </c>
      <c r="F157" s="4" t="s">
        <v>78</v>
      </c>
      <c r="G157" s="7" t="s">
        <v>199</v>
      </c>
      <c r="H157" s="4" t="s">
        <v>252</v>
      </c>
      <c r="I157" s="4" t="s">
        <v>250</v>
      </c>
      <c r="J157" s="4">
        <v>1</v>
      </c>
      <c r="K157" s="4" t="s">
        <v>234</v>
      </c>
      <c r="L157" s="4" t="s">
        <v>235</v>
      </c>
      <c r="M157" s="4">
        <v>180</v>
      </c>
      <c r="N157" s="4">
        <v>240</v>
      </c>
      <c r="O157" s="4" t="s">
        <v>44</v>
      </c>
      <c r="P157" s="4" t="s">
        <v>45</v>
      </c>
      <c r="Q157" s="4" t="s">
        <v>46</v>
      </c>
      <c r="R157" s="4" t="s">
        <v>241</v>
      </c>
      <c r="S157" s="4">
        <v>17.600000000000001</v>
      </c>
      <c r="T157" s="4">
        <f>BOM[[#This Row],[Longueur Tissage]]*BOM[[#This Row],[Duite Par Cm]]</f>
        <v>4224</v>
      </c>
      <c r="U157" s="8"/>
      <c r="V157" s="8"/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</row>
    <row r="158" spans="1:28" x14ac:dyDescent="0.25">
      <c r="A158" s="3" t="str">
        <f>CONCATENATE(BOM[[#This Row],[Code Modèle]],BOM[[#This Row],[Code Dimensions]],"(",BOM[[#This Row],[Code Type De Finition]],")","-",BOM[[#This Row],[Code Nombre de couleur]])</f>
        <v>OLI2426(OU)-B</v>
      </c>
      <c r="B158" s="4" t="s">
        <v>174</v>
      </c>
      <c r="C158" s="4" t="s">
        <v>175</v>
      </c>
      <c r="D158" s="4" t="s">
        <v>224</v>
      </c>
      <c r="E158" s="4" t="s">
        <v>228</v>
      </c>
      <c r="F158" s="4" t="s">
        <v>52</v>
      </c>
      <c r="G158" s="7">
        <v>2426</v>
      </c>
      <c r="H158" s="4" t="s">
        <v>252</v>
      </c>
      <c r="I158" s="4" t="s">
        <v>250</v>
      </c>
      <c r="J158" s="4">
        <v>1</v>
      </c>
      <c r="K158" s="4" t="s">
        <v>234</v>
      </c>
      <c r="L158" s="4" t="s">
        <v>235</v>
      </c>
      <c r="M158" s="4">
        <v>240</v>
      </c>
      <c r="N158" s="4">
        <v>260</v>
      </c>
      <c r="O158" s="4" t="s">
        <v>44</v>
      </c>
      <c r="P158" s="4" t="s">
        <v>45</v>
      </c>
      <c r="Q158" s="4" t="s">
        <v>46</v>
      </c>
      <c r="R158" s="4" t="s">
        <v>241</v>
      </c>
      <c r="S158" s="4">
        <v>17.600000000000001</v>
      </c>
      <c r="T158" s="4">
        <f>BOM[[#This Row],[Longueur Tissage]]*BOM[[#This Row],[Duite Par Cm]]</f>
        <v>4576</v>
      </c>
      <c r="U158" s="8">
        <v>1.25</v>
      </c>
      <c r="V158" s="8">
        <v>9.5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</row>
    <row r="159" spans="1:28" x14ac:dyDescent="0.25">
      <c r="A159" s="3" t="str">
        <f>CONCATENATE(BOM[[#This Row],[Code Modèle]],BOM[[#This Row],[Code Dimensions]],"(",BOM[[#This Row],[Code Type De Finition]],")","-",BOM[[#This Row],[Code Nombre de couleur]])</f>
        <v>OLI2430(OU)-B</v>
      </c>
      <c r="B159" s="4" t="s">
        <v>174</v>
      </c>
      <c r="C159" s="4" t="s">
        <v>175</v>
      </c>
      <c r="D159" s="4" t="s">
        <v>224</v>
      </c>
      <c r="E159" s="4" t="s">
        <v>228</v>
      </c>
      <c r="F159" s="4" t="s">
        <v>136</v>
      </c>
      <c r="G159" s="7">
        <v>2430</v>
      </c>
      <c r="H159" s="4" t="s">
        <v>252</v>
      </c>
      <c r="I159" s="4" t="s">
        <v>250</v>
      </c>
      <c r="J159" s="4">
        <v>1</v>
      </c>
      <c r="K159" s="4" t="s">
        <v>234</v>
      </c>
      <c r="L159" s="4" t="s">
        <v>235</v>
      </c>
      <c r="M159" s="4">
        <v>240</v>
      </c>
      <c r="N159" s="4">
        <v>300</v>
      </c>
      <c r="O159" s="4" t="s">
        <v>44</v>
      </c>
      <c r="P159" s="4" t="s">
        <v>45</v>
      </c>
      <c r="Q159" s="4" t="s">
        <v>46</v>
      </c>
      <c r="R159" s="4" t="s">
        <v>241</v>
      </c>
      <c r="S159" s="4">
        <v>17.600000000000001</v>
      </c>
      <c r="T159" s="4">
        <f>BOM[[#This Row],[Longueur Tissage]]*BOM[[#This Row],[Duite Par Cm]]</f>
        <v>5280</v>
      </c>
      <c r="U159" s="9">
        <v>1.3</v>
      </c>
      <c r="V159" s="9">
        <v>1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</row>
    <row r="160" spans="1:28" x14ac:dyDescent="0.25">
      <c r="A160" s="3" t="str">
        <f>CONCATENATE(BOM[[#This Row],[Code Modèle]],BOM[[#This Row],[Code Dimensions]],"(",BOM[[#This Row],[Code Type De Finition]],")","-",BOM[[#This Row],[Code Nombre de couleur]])</f>
        <v>OLI1824(FR)-B</v>
      </c>
      <c r="B160" s="4" t="s">
        <v>174</v>
      </c>
      <c r="C160" s="4" t="s">
        <v>175</v>
      </c>
      <c r="D160" s="4" t="s">
        <v>224</v>
      </c>
      <c r="E160" s="4" t="s">
        <v>228</v>
      </c>
      <c r="F160" s="4" t="s">
        <v>78</v>
      </c>
      <c r="G160" s="7" t="s">
        <v>199</v>
      </c>
      <c r="H160" s="4" t="s">
        <v>252</v>
      </c>
      <c r="I160" s="4" t="s">
        <v>250</v>
      </c>
      <c r="J160" s="4">
        <v>1</v>
      </c>
      <c r="K160" s="4" t="s">
        <v>236</v>
      </c>
      <c r="L160" s="4" t="s">
        <v>42</v>
      </c>
      <c r="M160" s="4">
        <v>180</v>
      </c>
      <c r="N160" s="4">
        <v>280</v>
      </c>
      <c r="O160" s="4" t="s">
        <v>44</v>
      </c>
      <c r="P160" s="4" t="s">
        <v>45</v>
      </c>
      <c r="Q160" s="4" t="s">
        <v>46</v>
      </c>
      <c r="R160" s="4" t="s">
        <v>241</v>
      </c>
      <c r="S160" s="4">
        <v>17.600000000000001</v>
      </c>
      <c r="T160" s="4">
        <f>BOM[[#This Row],[Longueur Tissage]]*BOM[[#This Row],[Duite Par Cm]]</f>
        <v>4928</v>
      </c>
      <c r="U160" s="8"/>
      <c r="V160" s="8"/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</row>
    <row r="161" spans="1:28" x14ac:dyDescent="0.25">
      <c r="A161" s="3" t="str">
        <f>CONCATENATE(BOM[[#This Row],[Code Modèle]],BOM[[#This Row],[Code Dimensions]],"(",BOM[[#This Row],[Code Type De Finition]],")","-",BOM[[#This Row],[Code Nombre de couleur]])</f>
        <v>OLI2426(FR)-B</v>
      </c>
      <c r="B161" s="4" t="s">
        <v>174</v>
      </c>
      <c r="C161" s="4" t="s">
        <v>175</v>
      </c>
      <c r="D161" s="4" t="s">
        <v>224</v>
      </c>
      <c r="E161" s="4" t="s">
        <v>228</v>
      </c>
      <c r="F161" s="4" t="s">
        <v>52</v>
      </c>
      <c r="G161" s="7">
        <v>2426</v>
      </c>
      <c r="H161" s="4" t="s">
        <v>252</v>
      </c>
      <c r="I161" s="4" t="s">
        <v>250</v>
      </c>
      <c r="J161" s="4">
        <v>1</v>
      </c>
      <c r="K161" s="4" t="s">
        <v>236</v>
      </c>
      <c r="L161" s="4" t="s">
        <v>42</v>
      </c>
      <c r="M161" s="4">
        <v>240</v>
      </c>
      <c r="N161" s="4">
        <v>300</v>
      </c>
      <c r="O161" s="4" t="s">
        <v>44</v>
      </c>
      <c r="P161" s="4" t="s">
        <v>45</v>
      </c>
      <c r="Q161" s="4" t="s">
        <v>46</v>
      </c>
      <c r="R161" s="4" t="s">
        <v>241</v>
      </c>
      <c r="S161" s="4">
        <v>17.600000000000001</v>
      </c>
      <c r="T161" s="4">
        <f>BOM[[#This Row],[Longueur Tissage]]*BOM[[#This Row],[Duite Par Cm]]</f>
        <v>5280</v>
      </c>
      <c r="U161" s="8">
        <v>1.25</v>
      </c>
      <c r="V161" s="8">
        <v>9.5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</row>
    <row r="162" spans="1:28" x14ac:dyDescent="0.25">
      <c r="A162" s="3" t="str">
        <f>CONCATENATE(BOM[[#This Row],[Code Modèle]],BOM[[#This Row],[Code Dimensions]],"(",BOM[[#This Row],[Code Type De Finition]],")","-",BOM[[#This Row],[Code Nombre de couleur]])</f>
        <v>OLI2430(FR)-B</v>
      </c>
      <c r="B162" s="4" t="s">
        <v>174</v>
      </c>
      <c r="C162" s="4" t="s">
        <v>175</v>
      </c>
      <c r="D162" s="4" t="s">
        <v>224</v>
      </c>
      <c r="E162" s="4" t="s">
        <v>228</v>
      </c>
      <c r="F162" s="4" t="s">
        <v>136</v>
      </c>
      <c r="G162" s="7">
        <v>2430</v>
      </c>
      <c r="H162" s="4" t="s">
        <v>252</v>
      </c>
      <c r="I162" s="4" t="s">
        <v>250</v>
      </c>
      <c r="J162" s="4">
        <v>1</v>
      </c>
      <c r="K162" s="4" t="s">
        <v>236</v>
      </c>
      <c r="L162" s="4" t="s">
        <v>42</v>
      </c>
      <c r="M162" s="4">
        <v>240</v>
      </c>
      <c r="N162" s="4">
        <v>340</v>
      </c>
      <c r="O162" s="4" t="s">
        <v>44</v>
      </c>
      <c r="P162" s="4" t="s">
        <v>45</v>
      </c>
      <c r="Q162" s="4" t="s">
        <v>46</v>
      </c>
      <c r="R162" s="4" t="s">
        <v>241</v>
      </c>
      <c r="S162" s="4">
        <v>17.600000000000001</v>
      </c>
      <c r="T162" s="4">
        <f>BOM[[#This Row],[Longueur Tissage]]*BOM[[#This Row],[Duite Par Cm]]</f>
        <v>5984.0000000000009</v>
      </c>
      <c r="U162" s="9">
        <v>1.3</v>
      </c>
      <c r="V162" s="9">
        <v>1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</row>
    <row r="163" spans="1:28" x14ac:dyDescent="0.25">
      <c r="A163" s="3" t="str">
        <f>CONCATENATE(BOM[[#This Row],[Code Modèle]],BOM[[#This Row],[Code Dimensions]],"(",BOM[[#This Row],[Code Type De Finition]],")","-",BOM[[#This Row],[Code Nombre de couleur]])</f>
        <v>MON1824(OU)-B</v>
      </c>
      <c r="B163" s="4" t="s">
        <v>176</v>
      </c>
      <c r="C163" s="4" t="s">
        <v>177</v>
      </c>
      <c r="D163" s="4" t="s">
        <v>224</v>
      </c>
      <c r="E163" s="4" t="s">
        <v>228</v>
      </c>
      <c r="F163" s="4" t="s">
        <v>78</v>
      </c>
      <c r="G163" s="7" t="s">
        <v>199</v>
      </c>
      <c r="H163" s="4" t="s">
        <v>252</v>
      </c>
      <c r="I163" s="4" t="s">
        <v>250</v>
      </c>
      <c r="J163" s="4">
        <v>1</v>
      </c>
      <c r="K163" s="4" t="s">
        <v>234</v>
      </c>
      <c r="L163" s="4" t="s">
        <v>235</v>
      </c>
      <c r="M163" s="4">
        <v>180</v>
      </c>
      <c r="N163" s="4">
        <v>240</v>
      </c>
      <c r="O163" s="4" t="s">
        <v>44</v>
      </c>
      <c r="P163" s="4" t="s">
        <v>45</v>
      </c>
      <c r="Q163" s="4" t="s">
        <v>46</v>
      </c>
      <c r="R163" s="4" t="s">
        <v>241</v>
      </c>
      <c r="S163" s="4">
        <v>17.600000000000001</v>
      </c>
      <c r="T163" s="4">
        <f>BOM[[#This Row],[Longueur Tissage]]*BOM[[#This Row],[Duite Par Cm]]</f>
        <v>4224</v>
      </c>
      <c r="U163" s="8"/>
      <c r="V163" s="8"/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</row>
    <row r="164" spans="1:28" x14ac:dyDescent="0.25">
      <c r="A164" s="3" t="str">
        <f>CONCATENATE(BOM[[#This Row],[Code Modèle]],BOM[[#This Row],[Code Dimensions]],"(",BOM[[#This Row],[Code Type De Finition]],")","-",BOM[[#This Row],[Code Nombre de couleur]])</f>
        <v>MON2426(OU)-B</v>
      </c>
      <c r="B164" s="4" t="s">
        <v>176</v>
      </c>
      <c r="C164" s="4" t="s">
        <v>177</v>
      </c>
      <c r="D164" s="4" t="s">
        <v>224</v>
      </c>
      <c r="E164" s="4" t="s">
        <v>228</v>
      </c>
      <c r="F164" s="4" t="s">
        <v>52</v>
      </c>
      <c r="G164" s="7">
        <v>2426</v>
      </c>
      <c r="H164" s="4" t="s">
        <v>252</v>
      </c>
      <c r="I164" s="4" t="s">
        <v>250</v>
      </c>
      <c r="J164" s="4">
        <v>1</v>
      </c>
      <c r="K164" s="4" t="s">
        <v>234</v>
      </c>
      <c r="L164" s="4" t="s">
        <v>235</v>
      </c>
      <c r="M164" s="4">
        <v>240</v>
      </c>
      <c r="N164" s="4">
        <v>260</v>
      </c>
      <c r="O164" s="4" t="s">
        <v>44</v>
      </c>
      <c r="P164" s="4" t="s">
        <v>45</v>
      </c>
      <c r="Q164" s="4" t="s">
        <v>46</v>
      </c>
      <c r="R164" s="4" t="s">
        <v>241</v>
      </c>
      <c r="S164" s="4">
        <v>17.600000000000001</v>
      </c>
      <c r="T164" s="4">
        <f>BOM[[#This Row],[Longueur Tissage]]*BOM[[#This Row],[Duite Par Cm]]</f>
        <v>4576</v>
      </c>
      <c r="U164" s="8">
        <v>0.98</v>
      </c>
      <c r="V164" s="8">
        <v>1.4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</row>
    <row r="165" spans="1:28" x14ac:dyDescent="0.25">
      <c r="A165" s="3" t="str">
        <f>CONCATENATE(BOM[[#This Row],[Code Modèle]],BOM[[#This Row],[Code Dimensions]],"(",BOM[[#This Row],[Code Type De Finition]],")","-",BOM[[#This Row],[Code Nombre de couleur]])</f>
        <v>MON2430(OU)-B</v>
      </c>
      <c r="B165" s="4" t="s">
        <v>176</v>
      </c>
      <c r="C165" s="4" t="s">
        <v>177</v>
      </c>
      <c r="D165" s="4" t="s">
        <v>224</v>
      </c>
      <c r="E165" s="4" t="s">
        <v>228</v>
      </c>
      <c r="F165" s="4" t="s">
        <v>136</v>
      </c>
      <c r="G165" s="7">
        <v>2430</v>
      </c>
      <c r="H165" s="4" t="s">
        <v>252</v>
      </c>
      <c r="I165" s="4" t="s">
        <v>250</v>
      </c>
      <c r="J165" s="4">
        <v>1</v>
      </c>
      <c r="K165" s="4" t="s">
        <v>234</v>
      </c>
      <c r="L165" s="4" t="s">
        <v>235</v>
      </c>
      <c r="M165" s="4">
        <v>240</v>
      </c>
      <c r="N165" s="4">
        <v>300</v>
      </c>
      <c r="O165" s="4" t="s">
        <v>44</v>
      </c>
      <c r="P165" s="4" t="s">
        <v>45</v>
      </c>
      <c r="Q165" s="4" t="s">
        <v>46</v>
      </c>
      <c r="R165" s="4" t="s">
        <v>241</v>
      </c>
      <c r="S165" s="4">
        <v>17.600000000000001</v>
      </c>
      <c r="T165" s="4">
        <f>BOM[[#This Row],[Longueur Tissage]]*BOM[[#This Row],[Duite Par Cm]]</f>
        <v>5280</v>
      </c>
      <c r="U165" s="9">
        <v>1.0409999999999995</v>
      </c>
      <c r="V165" s="9">
        <v>1.4690000000000012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</row>
    <row r="166" spans="1:28" x14ac:dyDescent="0.25">
      <c r="A166" s="3" t="str">
        <f>CONCATENATE(BOM[[#This Row],[Code Modèle]],BOM[[#This Row],[Code Dimensions]],"(",BOM[[#This Row],[Code Type De Finition]],")","-",BOM[[#This Row],[Code Nombre de couleur]])</f>
        <v>MON1824(FR)-B</v>
      </c>
      <c r="B166" s="4" t="s">
        <v>176</v>
      </c>
      <c r="C166" s="4" t="s">
        <v>177</v>
      </c>
      <c r="D166" s="4" t="s">
        <v>224</v>
      </c>
      <c r="E166" s="4" t="s">
        <v>228</v>
      </c>
      <c r="F166" s="4" t="s">
        <v>78</v>
      </c>
      <c r="G166" s="7" t="s">
        <v>199</v>
      </c>
      <c r="H166" s="4" t="s">
        <v>252</v>
      </c>
      <c r="I166" s="4" t="s">
        <v>250</v>
      </c>
      <c r="J166" s="4">
        <v>1</v>
      </c>
      <c r="K166" s="4" t="s">
        <v>236</v>
      </c>
      <c r="L166" s="4" t="s">
        <v>42</v>
      </c>
      <c r="M166" s="4">
        <v>180</v>
      </c>
      <c r="N166" s="4">
        <v>280</v>
      </c>
      <c r="O166" s="4" t="s">
        <v>44</v>
      </c>
      <c r="P166" s="4" t="s">
        <v>45</v>
      </c>
      <c r="Q166" s="4" t="s">
        <v>46</v>
      </c>
      <c r="R166" s="4" t="s">
        <v>241</v>
      </c>
      <c r="S166" s="4">
        <v>17.600000000000001</v>
      </c>
      <c r="T166" s="4">
        <f>BOM[[#This Row],[Longueur Tissage]]*BOM[[#This Row],[Duite Par Cm]]</f>
        <v>4928</v>
      </c>
      <c r="U166" s="8"/>
      <c r="V166" s="8"/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</row>
    <row r="167" spans="1:28" x14ac:dyDescent="0.25">
      <c r="A167" s="3" t="str">
        <f>CONCATENATE(BOM[[#This Row],[Code Modèle]],BOM[[#This Row],[Code Dimensions]],"(",BOM[[#This Row],[Code Type De Finition]],")","-",BOM[[#This Row],[Code Nombre de couleur]])</f>
        <v>MON2426(FR)-B</v>
      </c>
      <c r="B167" s="4" t="s">
        <v>176</v>
      </c>
      <c r="C167" s="4" t="s">
        <v>177</v>
      </c>
      <c r="D167" s="4" t="s">
        <v>224</v>
      </c>
      <c r="E167" s="4" t="s">
        <v>228</v>
      </c>
      <c r="F167" s="4" t="s">
        <v>52</v>
      </c>
      <c r="G167" s="7">
        <v>2426</v>
      </c>
      <c r="H167" s="4" t="s">
        <v>252</v>
      </c>
      <c r="I167" s="4" t="s">
        <v>250</v>
      </c>
      <c r="J167" s="4">
        <v>1</v>
      </c>
      <c r="K167" s="4" t="s">
        <v>236</v>
      </c>
      <c r="L167" s="4" t="s">
        <v>42</v>
      </c>
      <c r="M167" s="4">
        <v>240</v>
      </c>
      <c r="N167" s="4">
        <v>300</v>
      </c>
      <c r="O167" s="4" t="s">
        <v>44</v>
      </c>
      <c r="P167" s="4" t="s">
        <v>45</v>
      </c>
      <c r="Q167" s="4" t="s">
        <v>46</v>
      </c>
      <c r="R167" s="4" t="s">
        <v>241</v>
      </c>
      <c r="S167" s="4">
        <v>17.600000000000001</v>
      </c>
      <c r="T167" s="4">
        <f>BOM[[#This Row],[Longueur Tissage]]*BOM[[#This Row],[Duite Par Cm]]</f>
        <v>5280</v>
      </c>
      <c r="U167" s="8">
        <v>0.98</v>
      </c>
      <c r="V167" s="8">
        <v>1.4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</row>
    <row r="168" spans="1:28" x14ac:dyDescent="0.25">
      <c r="A168" s="3" t="str">
        <f>CONCATENATE(BOM[[#This Row],[Code Modèle]],BOM[[#This Row],[Code Dimensions]],"(",BOM[[#This Row],[Code Type De Finition]],")","-",BOM[[#This Row],[Code Nombre de couleur]])</f>
        <v>MON2430(FR)-B</v>
      </c>
      <c r="B168" s="4" t="s">
        <v>176</v>
      </c>
      <c r="C168" s="4" t="s">
        <v>177</v>
      </c>
      <c r="D168" s="4" t="s">
        <v>224</v>
      </c>
      <c r="E168" s="4" t="s">
        <v>228</v>
      </c>
      <c r="F168" s="4" t="s">
        <v>136</v>
      </c>
      <c r="G168" s="7">
        <v>2430</v>
      </c>
      <c r="H168" s="4" t="s">
        <v>252</v>
      </c>
      <c r="I168" s="4" t="s">
        <v>250</v>
      </c>
      <c r="J168" s="4">
        <v>1</v>
      </c>
      <c r="K168" s="4" t="s">
        <v>236</v>
      </c>
      <c r="L168" s="4" t="s">
        <v>42</v>
      </c>
      <c r="M168" s="4">
        <v>240</v>
      </c>
      <c r="N168" s="4">
        <v>340</v>
      </c>
      <c r="O168" s="4" t="s">
        <v>44</v>
      </c>
      <c r="P168" s="4" t="s">
        <v>45</v>
      </c>
      <c r="Q168" s="4" t="s">
        <v>46</v>
      </c>
      <c r="R168" s="4" t="s">
        <v>241</v>
      </c>
      <c r="S168" s="4">
        <v>17.600000000000001</v>
      </c>
      <c r="T168" s="4">
        <f>BOM[[#This Row],[Longueur Tissage]]*BOM[[#This Row],[Duite Par Cm]]</f>
        <v>5984.0000000000009</v>
      </c>
      <c r="U168" s="9">
        <v>1.0409999999999995</v>
      </c>
      <c r="V168" s="9">
        <v>1.4690000000000012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</row>
    <row r="169" spans="1:28" x14ac:dyDescent="0.25">
      <c r="A169" s="3" t="str">
        <f>CONCATENATE(BOM[[#This Row],[Code Modèle]],BOM[[#This Row],[Code Dimensions]],"(",BOM[[#This Row],[Code Type De Finition]],")","-",BOM[[#This Row],[Code Nombre de couleur]])</f>
        <v>MEA1824(OU)-B</v>
      </c>
      <c r="B169" s="4" t="s">
        <v>178</v>
      </c>
      <c r="C169" s="4" t="s">
        <v>179</v>
      </c>
      <c r="D169" s="4" t="s">
        <v>224</v>
      </c>
      <c r="E169" s="4" t="s">
        <v>228</v>
      </c>
      <c r="F169" s="4" t="s">
        <v>78</v>
      </c>
      <c r="G169" s="7" t="s">
        <v>199</v>
      </c>
      <c r="H169" s="4" t="s">
        <v>252</v>
      </c>
      <c r="I169" s="4" t="s">
        <v>250</v>
      </c>
      <c r="J169" s="4">
        <v>1</v>
      </c>
      <c r="K169" s="4" t="s">
        <v>234</v>
      </c>
      <c r="L169" s="4" t="s">
        <v>235</v>
      </c>
      <c r="M169" s="4">
        <v>180</v>
      </c>
      <c r="N169" s="4">
        <v>240</v>
      </c>
      <c r="O169" s="4" t="s">
        <v>44</v>
      </c>
      <c r="P169" s="4" t="s">
        <v>45</v>
      </c>
      <c r="Q169" s="4" t="s">
        <v>46</v>
      </c>
      <c r="R169" s="4" t="s">
        <v>241</v>
      </c>
      <c r="S169" s="4">
        <v>17.600000000000001</v>
      </c>
      <c r="T169" s="4">
        <f>BOM[[#This Row],[Longueur Tissage]]*BOM[[#This Row],[Duite Par Cm]]</f>
        <v>4224</v>
      </c>
      <c r="U169" s="8"/>
      <c r="V169" s="8"/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</row>
    <row r="170" spans="1:28" x14ac:dyDescent="0.25">
      <c r="A170" s="3" t="str">
        <f>CONCATENATE(BOM[[#This Row],[Code Modèle]],BOM[[#This Row],[Code Dimensions]],"(",BOM[[#This Row],[Code Type De Finition]],")","-",BOM[[#This Row],[Code Nombre de couleur]])</f>
        <v>MEA2426(OU)-B</v>
      </c>
      <c r="B170" s="4" t="s">
        <v>178</v>
      </c>
      <c r="C170" s="4" t="s">
        <v>179</v>
      </c>
      <c r="D170" s="4" t="s">
        <v>224</v>
      </c>
      <c r="E170" s="4" t="s">
        <v>228</v>
      </c>
      <c r="F170" s="4" t="s">
        <v>52</v>
      </c>
      <c r="G170" s="7">
        <v>2426</v>
      </c>
      <c r="H170" s="4" t="s">
        <v>252</v>
      </c>
      <c r="I170" s="4" t="s">
        <v>250</v>
      </c>
      <c r="J170" s="4">
        <v>1</v>
      </c>
      <c r="K170" s="4" t="s">
        <v>234</v>
      </c>
      <c r="L170" s="4" t="s">
        <v>235</v>
      </c>
      <c r="M170" s="4">
        <v>240</v>
      </c>
      <c r="N170" s="4">
        <v>260</v>
      </c>
      <c r="O170" s="4" t="s">
        <v>44</v>
      </c>
      <c r="P170" s="4" t="s">
        <v>45</v>
      </c>
      <c r="Q170" s="4" t="s">
        <v>46</v>
      </c>
      <c r="R170" s="4" t="s">
        <v>241</v>
      </c>
      <c r="S170" s="4">
        <v>17.600000000000001</v>
      </c>
      <c r="T170" s="4">
        <f>BOM[[#This Row],[Longueur Tissage]]*BOM[[#This Row],[Duite Par Cm]]</f>
        <v>4576</v>
      </c>
      <c r="U170" s="8">
        <v>0.98</v>
      </c>
      <c r="V170" s="8">
        <v>1.4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</row>
    <row r="171" spans="1:28" x14ac:dyDescent="0.25">
      <c r="A171" s="3" t="str">
        <f>CONCATENATE(BOM[[#This Row],[Code Modèle]],BOM[[#This Row],[Code Dimensions]],"(",BOM[[#This Row],[Code Type De Finition]],")","-",BOM[[#This Row],[Code Nombre de couleur]])</f>
        <v>MEA2430(OU)-B</v>
      </c>
      <c r="B171" s="4" t="s">
        <v>178</v>
      </c>
      <c r="C171" s="4" t="s">
        <v>179</v>
      </c>
      <c r="D171" s="4" t="s">
        <v>224</v>
      </c>
      <c r="E171" s="4" t="s">
        <v>228</v>
      </c>
      <c r="F171" s="4" t="s">
        <v>136</v>
      </c>
      <c r="G171" s="7">
        <v>2430</v>
      </c>
      <c r="H171" s="4" t="s">
        <v>252</v>
      </c>
      <c r="I171" s="4" t="s">
        <v>250</v>
      </c>
      <c r="J171" s="4">
        <v>1</v>
      </c>
      <c r="K171" s="4" t="s">
        <v>234</v>
      </c>
      <c r="L171" s="4" t="s">
        <v>235</v>
      </c>
      <c r="M171" s="4">
        <v>240</v>
      </c>
      <c r="N171" s="4">
        <v>300</v>
      </c>
      <c r="O171" s="4" t="s">
        <v>44</v>
      </c>
      <c r="P171" s="4" t="s">
        <v>45</v>
      </c>
      <c r="Q171" s="4" t="s">
        <v>46</v>
      </c>
      <c r="R171" s="4" t="s">
        <v>241</v>
      </c>
      <c r="S171" s="4">
        <v>17.600000000000001</v>
      </c>
      <c r="T171" s="4">
        <f>BOM[[#This Row],[Longueur Tissage]]*BOM[[#This Row],[Duite Par Cm]]</f>
        <v>5280</v>
      </c>
      <c r="U171" s="9">
        <v>1.0409999999999995</v>
      </c>
      <c r="V171" s="9">
        <v>1.4690000000000012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</row>
    <row r="172" spans="1:28" x14ac:dyDescent="0.25">
      <c r="A172" s="3" t="str">
        <f>CONCATENATE(BOM[[#This Row],[Code Modèle]],BOM[[#This Row],[Code Dimensions]],"(",BOM[[#This Row],[Code Type De Finition]],")","-",BOM[[#This Row],[Code Nombre de couleur]])</f>
        <v>MEA1824(FR)-B</v>
      </c>
      <c r="B172" s="4" t="s">
        <v>178</v>
      </c>
      <c r="C172" s="4" t="s">
        <v>179</v>
      </c>
      <c r="D172" s="4" t="s">
        <v>224</v>
      </c>
      <c r="E172" s="4" t="s">
        <v>228</v>
      </c>
      <c r="F172" s="4" t="s">
        <v>78</v>
      </c>
      <c r="G172" s="7" t="s">
        <v>199</v>
      </c>
      <c r="H172" s="4" t="s">
        <v>252</v>
      </c>
      <c r="I172" s="4" t="s">
        <v>250</v>
      </c>
      <c r="J172" s="4">
        <v>1</v>
      </c>
      <c r="K172" s="4" t="s">
        <v>236</v>
      </c>
      <c r="L172" s="4" t="s">
        <v>42</v>
      </c>
      <c r="M172" s="4">
        <v>180</v>
      </c>
      <c r="N172" s="4">
        <v>280</v>
      </c>
      <c r="O172" s="4" t="s">
        <v>44</v>
      </c>
      <c r="P172" s="4" t="s">
        <v>45</v>
      </c>
      <c r="Q172" s="4" t="s">
        <v>46</v>
      </c>
      <c r="R172" s="4" t="s">
        <v>241</v>
      </c>
      <c r="S172" s="4">
        <v>17.600000000000001</v>
      </c>
      <c r="T172" s="4">
        <f>BOM[[#This Row],[Longueur Tissage]]*BOM[[#This Row],[Duite Par Cm]]</f>
        <v>4928</v>
      </c>
      <c r="U172" s="8"/>
      <c r="V172" s="8"/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</row>
    <row r="173" spans="1:28" x14ac:dyDescent="0.25">
      <c r="A173" s="3" t="str">
        <f>CONCATENATE(BOM[[#This Row],[Code Modèle]],BOM[[#This Row],[Code Dimensions]],"(",BOM[[#This Row],[Code Type De Finition]],")","-",BOM[[#This Row],[Code Nombre de couleur]])</f>
        <v>MEA2426(FR)-B</v>
      </c>
      <c r="B173" s="4" t="s">
        <v>178</v>
      </c>
      <c r="C173" s="4" t="s">
        <v>179</v>
      </c>
      <c r="D173" s="4" t="s">
        <v>224</v>
      </c>
      <c r="E173" s="4" t="s">
        <v>228</v>
      </c>
      <c r="F173" s="4" t="s">
        <v>52</v>
      </c>
      <c r="G173" s="7">
        <v>2426</v>
      </c>
      <c r="H173" s="4" t="s">
        <v>252</v>
      </c>
      <c r="I173" s="4" t="s">
        <v>250</v>
      </c>
      <c r="J173" s="4">
        <v>1</v>
      </c>
      <c r="K173" s="4" t="s">
        <v>236</v>
      </c>
      <c r="L173" s="4" t="s">
        <v>42</v>
      </c>
      <c r="M173" s="4">
        <v>240</v>
      </c>
      <c r="N173" s="4">
        <v>300</v>
      </c>
      <c r="O173" s="4" t="s">
        <v>44</v>
      </c>
      <c r="P173" s="4" t="s">
        <v>45</v>
      </c>
      <c r="Q173" s="4" t="s">
        <v>46</v>
      </c>
      <c r="R173" s="4" t="s">
        <v>241</v>
      </c>
      <c r="S173" s="4">
        <v>17.600000000000001</v>
      </c>
      <c r="T173" s="4">
        <f>BOM[[#This Row],[Longueur Tissage]]*BOM[[#This Row],[Duite Par Cm]]</f>
        <v>5280</v>
      </c>
      <c r="U173" s="8">
        <v>0.98</v>
      </c>
      <c r="V173" s="8">
        <v>1.4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</row>
    <row r="174" spans="1:28" x14ac:dyDescent="0.25">
      <c r="A174" s="3" t="str">
        <f>CONCATENATE(BOM[[#This Row],[Code Modèle]],BOM[[#This Row],[Code Dimensions]],"(",BOM[[#This Row],[Code Type De Finition]],")","-",BOM[[#This Row],[Code Nombre de couleur]])</f>
        <v>MEA2430(FR)-B</v>
      </c>
      <c r="B174" s="4" t="s">
        <v>178</v>
      </c>
      <c r="C174" s="4" t="s">
        <v>179</v>
      </c>
      <c r="D174" s="4" t="s">
        <v>224</v>
      </c>
      <c r="E174" s="4" t="s">
        <v>228</v>
      </c>
      <c r="F174" s="4" t="s">
        <v>136</v>
      </c>
      <c r="G174" s="7">
        <v>2430</v>
      </c>
      <c r="H174" s="4" t="s">
        <v>252</v>
      </c>
      <c r="I174" s="4" t="s">
        <v>250</v>
      </c>
      <c r="J174" s="4">
        <v>1</v>
      </c>
      <c r="K174" s="4" t="s">
        <v>236</v>
      </c>
      <c r="L174" s="4" t="s">
        <v>42</v>
      </c>
      <c r="M174" s="4">
        <v>240</v>
      </c>
      <c r="N174" s="4">
        <v>340</v>
      </c>
      <c r="O174" s="4" t="s">
        <v>44</v>
      </c>
      <c r="P174" s="4" t="s">
        <v>45</v>
      </c>
      <c r="Q174" s="4" t="s">
        <v>46</v>
      </c>
      <c r="R174" s="4" t="s">
        <v>241</v>
      </c>
      <c r="S174" s="4">
        <v>17.600000000000001</v>
      </c>
      <c r="T174" s="4">
        <f>BOM[[#This Row],[Longueur Tissage]]*BOM[[#This Row],[Duite Par Cm]]</f>
        <v>5984.0000000000009</v>
      </c>
      <c r="U174" s="9">
        <v>1.0409999999999995</v>
      </c>
      <c r="V174" s="9">
        <v>1.4690000000000012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</row>
    <row r="175" spans="1:28" x14ac:dyDescent="0.25">
      <c r="A175" s="3" t="str">
        <f>CONCATENATE(BOM[[#This Row],[Code Modèle]],BOM[[#This Row],[Code Dimensions]],"(",BOM[[#This Row],[Code Type De Finition]],")","-",BOM[[#This Row],[Code Nombre de couleur]])</f>
        <v>PONEN(CO)-U</v>
      </c>
      <c r="B175" s="4" t="s">
        <v>230</v>
      </c>
      <c r="C175" s="4" t="s">
        <v>204</v>
      </c>
      <c r="D175" s="4" t="s">
        <v>229</v>
      </c>
      <c r="E175" s="4" t="s">
        <v>56</v>
      </c>
      <c r="F175" s="4" t="s">
        <v>180</v>
      </c>
      <c r="G175" s="7" t="s">
        <v>181</v>
      </c>
      <c r="H175" s="4" t="s">
        <v>257</v>
      </c>
      <c r="I175" s="4" t="s">
        <v>248</v>
      </c>
      <c r="J175" s="4">
        <v>4</v>
      </c>
      <c r="K175" s="4" t="s">
        <v>220</v>
      </c>
      <c r="L175" s="4" t="s">
        <v>215</v>
      </c>
      <c r="M175" s="4">
        <v>230</v>
      </c>
      <c r="N175" s="4">
        <v>75</v>
      </c>
      <c r="O175" s="4" t="s">
        <v>79</v>
      </c>
      <c r="P175" s="4" t="s">
        <v>80</v>
      </c>
      <c r="Q175" s="4" t="s">
        <v>46</v>
      </c>
      <c r="R175" s="4" t="s">
        <v>241</v>
      </c>
      <c r="S175" s="4">
        <v>18</v>
      </c>
      <c r="T175" s="4">
        <f>BOM[[#This Row],[Longueur Tissage]]*BOM[[#This Row],[Duite Par Cm]]</f>
        <v>1350</v>
      </c>
      <c r="U175" s="9">
        <v>0.2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</row>
    <row r="176" spans="1:28" ht="27" x14ac:dyDescent="0.25">
      <c r="A176" s="3" t="str">
        <f>CONCATENATE(BOM[[#This Row],[Code Modèle]],BOM[[#This Row],[Code Dimensions]],"(",BOM[[#This Row],[Code Type De Finition]],")","-",BOM[[#This Row],[Code Nombre de couleur]])</f>
        <v>PONADU(CO)-U</v>
      </c>
      <c r="B176" s="4" t="s">
        <v>230</v>
      </c>
      <c r="C176" s="4" t="s">
        <v>204</v>
      </c>
      <c r="D176" s="4" t="s">
        <v>229</v>
      </c>
      <c r="E176" s="4" t="s">
        <v>56</v>
      </c>
      <c r="F176" s="4" t="s">
        <v>214</v>
      </c>
      <c r="G176" s="7" t="s">
        <v>205</v>
      </c>
      <c r="H176" s="4" t="s">
        <v>257</v>
      </c>
      <c r="I176" s="4" t="s">
        <v>248</v>
      </c>
      <c r="J176" s="4">
        <v>4</v>
      </c>
      <c r="K176" s="4" t="s">
        <v>220</v>
      </c>
      <c r="L176" s="4" t="s">
        <v>215</v>
      </c>
      <c r="M176" s="4">
        <v>230</v>
      </c>
      <c r="N176" s="4">
        <v>130</v>
      </c>
      <c r="O176" s="4" t="s">
        <v>79</v>
      </c>
      <c r="P176" s="4" t="s">
        <v>80</v>
      </c>
      <c r="Q176" s="4" t="s">
        <v>46</v>
      </c>
      <c r="R176" s="4" t="s">
        <v>241</v>
      </c>
      <c r="S176" s="4">
        <v>18</v>
      </c>
      <c r="T176" s="4">
        <f>BOM[[#This Row],[Longueur Tissage]]*BOM[[#This Row],[Duite Par Cm]]</f>
        <v>2340</v>
      </c>
      <c r="U176" s="9">
        <v>0.35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</row>
    <row r="177" spans="1:28" ht="27" x14ac:dyDescent="0.25">
      <c r="A177" s="3" t="str">
        <f>CONCATENATE(BOM[[#This Row],[Code Modèle]],BOM[[#This Row],[Code Dimensions]],"(",BOM[[#This Row],[Code Type De Finition]],")","-",BOM[[#This Row],[Code Nombre de couleur]])</f>
        <v>PONADU(CO)-B</v>
      </c>
      <c r="B177" s="4" t="s">
        <v>318</v>
      </c>
      <c r="C177" s="4" t="s">
        <v>204</v>
      </c>
      <c r="D177" s="4" t="s">
        <v>229</v>
      </c>
      <c r="E177" s="4" t="s">
        <v>56</v>
      </c>
      <c r="F177" s="4" t="s">
        <v>214</v>
      </c>
      <c r="G177" s="7" t="s">
        <v>205</v>
      </c>
      <c r="H177" s="4" t="s">
        <v>257</v>
      </c>
      <c r="I177" s="4" t="s">
        <v>248</v>
      </c>
      <c r="J177" s="4">
        <v>4</v>
      </c>
      <c r="K177" s="4" t="s">
        <v>220</v>
      </c>
      <c r="L177" s="4" t="s">
        <v>215</v>
      </c>
      <c r="M177" s="4">
        <v>230</v>
      </c>
      <c r="N177" s="4">
        <v>130</v>
      </c>
      <c r="O177" s="4" t="s">
        <v>44</v>
      </c>
      <c r="P177" s="4" t="s">
        <v>45</v>
      </c>
      <c r="Q177" s="4" t="s">
        <v>46</v>
      </c>
      <c r="R177" s="4" t="s">
        <v>241</v>
      </c>
      <c r="S177" s="4">
        <v>18</v>
      </c>
      <c r="T177" s="4">
        <f>BOM[[#This Row],[Longueur Tissage]]*BOM[[#This Row],[Duite Par Cm]]</f>
        <v>2340</v>
      </c>
      <c r="U177" s="9">
        <v>0.15</v>
      </c>
      <c r="V177" s="9">
        <v>0.2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</row>
    <row r="178" spans="1:28" x14ac:dyDescent="0.25">
      <c r="A178" s="3" t="str">
        <f>CONCATENATE(BOM[[#This Row],[Code Modèle]],BOM[[#This Row],[Code Dimensions]],"(",BOM[[#This Row],[Code Type De Finition]],")","-",BOM[[#This Row],[Code Nombre de couleur]])</f>
        <v>PONEN(CO)-B</v>
      </c>
      <c r="B178" s="4" t="s">
        <v>318</v>
      </c>
      <c r="C178" s="4" t="s">
        <v>204</v>
      </c>
      <c r="D178" s="4" t="s">
        <v>229</v>
      </c>
      <c r="E178" s="4" t="s">
        <v>56</v>
      </c>
      <c r="F178" s="4" t="s">
        <v>180</v>
      </c>
      <c r="G178" s="7" t="s">
        <v>181</v>
      </c>
      <c r="H178" s="4" t="s">
        <v>257</v>
      </c>
      <c r="I178" s="4" t="s">
        <v>248</v>
      </c>
      <c r="J178" s="4">
        <v>4</v>
      </c>
      <c r="K178" s="4" t="s">
        <v>220</v>
      </c>
      <c r="L178" s="4" t="s">
        <v>215</v>
      </c>
      <c r="M178" s="4">
        <v>230</v>
      </c>
      <c r="N178" s="4">
        <v>80</v>
      </c>
      <c r="O178" s="4" t="s">
        <v>44</v>
      </c>
      <c r="P178" s="4" t="s">
        <v>45</v>
      </c>
      <c r="Q178" s="4" t="s">
        <v>46</v>
      </c>
      <c r="R178" s="4" t="s">
        <v>241</v>
      </c>
      <c r="S178" s="4">
        <v>18</v>
      </c>
      <c r="T178" s="4">
        <f>BOM[[#This Row],[Longueur Tissage]]*BOM[[#This Row],[Duite Par Cm]]</f>
        <v>1440</v>
      </c>
      <c r="U178" s="9">
        <v>0.1</v>
      </c>
      <c r="V178" s="9">
        <v>0.1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</row>
    <row r="179" spans="1:28" x14ac:dyDescent="0.25">
      <c r="A179" s="3" t="str">
        <f>CONCATENATE(BOM[[#This Row],[Code Modèle]],BOM[[#This Row],[Code Dimensions]],"(",BOM[[#This Row],[Code Type De Finition]],")","-",BOM[[#This Row],[Code Nombre de couleur]])</f>
        <v>PIC1824(OU)-B</v>
      </c>
      <c r="B179" s="4" t="s">
        <v>182</v>
      </c>
      <c r="C179" s="4" t="s">
        <v>183</v>
      </c>
      <c r="D179" s="4" t="s">
        <v>224</v>
      </c>
      <c r="E179" s="4" t="s">
        <v>228</v>
      </c>
      <c r="F179" s="4" t="s">
        <v>78</v>
      </c>
      <c r="G179" s="7" t="s">
        <v>199</v>
      </c>
      <c r="H179" s="4" t="s">
        <v>252</v>
      </c>
      <c r="I179" s="4" t="s">
        <v>250</v>
      </c>
      <c r="J179" s="4">
        <v>1</v>
      </c>
      <c r="K179" s="4" t="s">
        <v>234</v>
      </c>
      <c r="L179" s="4" t="s">
        <v>235</v>
      </c>
      <c r="M179" s="4">
        <v>180</v>
      </c>
      <c r="N179" s="4">
        <v>240</v>
      </c>
      <c r="O179" s="4" t="s">
        <v>44</v>
      </c>
      <c r="P179" s="4" t="s">
        <v>45</v>
      </c>
      <c r="Q179" s="4" t="s">
        <v>46</v>
      </c>
      <c r="R179" s="4" t="s">
        <v>241</v>
      </c>
      <c r="S179" s="4">
        <v>17.600000000000001</v>
      </c>
      <c r="T179" s="4">
        <f>BOM[[#This Row],[Longueur Tissage]]*BOM[[#This Row],[Duite Par Cm]]</f>
        <v>4224</v>
      </c>
      <c r="U179" s="8"/>
      <c r="V179" s="8"/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</row>
    <row r="180" spans="1:28" x14ac:dyDescent="0.25">
      <c r="A180" s="3" t="str">
        <f>CONCATENATE(BOM[[#This Row],[Code Modèle]],BOM[[#This Row],[Code Dimensions]],"(",BOM[[#This Row],[Code Type De Finition]],")","-",BOM[[#This Row],[Code Nombre de couleur]])</f>
        <v>PIC2426(OU)-B</v>
      </c>
      <c r="B180" s="4" t="s">
        <v>182</v>
      </c>
      <c r="C180" s="4" t="s">
        <v>183</v>
      </c>
      <c r="D180" s="4" t="s">
        <v>224</v>
      </c>
      <c r="E180" s="4" t="s">
        <v>228</v>
      </c>
      <c r="F180" s="4" t="s">
        <v>52</v>
      </c>
      <c r="G180" s="7">
        <v>2426</v>
      </c>
      <c r="H180" s="4" t="s">
        <v>252</v>
      </c>
      <c r="I180" s="4" t="s">
        <v>250</v>
      </c>
      <c r="J180" s="4">
        <v>1</v>
      </c>
      <c r="K180" s="4" t="s">
        <v>234</v>
      </c>
      <c r="L180" s="4" t="s">
        <v>235</v>
      </c>
      <c r="M180" s="4">
        <v>240</v>
      </c>
      <c r="N180" s="4">
        <v>260</v>
      </c>
      <c r="O180" s="4" t="s">
        <v>44</v>
      </c>
      <c r="P180" s="4" t="s">
        <v>45</v>
      </c>
      <c r="Q180" s="4" t="s">
        <v>46</v>
      </c>
      <c r="R180" s="4" t="s">
        <v>241</v>
      </c>
      <c r="S180" s="4">
        <v>17.600000000000001</v>
      </c>
      <c r="T180" s="4">
        <f>BOM[[#This Row],[Longueur Tissage]]*BOM[[#This Row],[Duite Par Cm]]</f>
        <v>4576</v>
      </c>
      <c r="U180" s="8"/>
      <c r="V180" s="8"/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</row>
    <row r="181" spans="1:28" x14ac:dyDescent="0.25">
      <c r="A181" s="3" t="str">
        <f>CONCATENATE(BOM[[#This Row],[Code Modèle]],BOM[[#This Row],[Code Dimensions]],"(",BOM[[#This Row],[Code Type De Finition]],")","-",BOM[[#This Row],[Code Nombre de couleur]])</f>
        <v>PIC2430(OU)-B</v>
      </c>
      <c r="B181" s="4" t="s">
        <v>182</v>
      </c>
      <c r="C181" s="4" t="s">
        <v>183</v>
      </c>
      <c r="D181" s="4" t="s">
        <v>224</v>
      </c>
      <c r="E181" s="4" t="s">
        <v>228</v>
      </c>
      <c r="F181" s="4" t="s">
        <v>136</v>
      </c>
      <c r="G181" s="7">
        <v>2430</v>
      </c>
      <c r="H181" s="4" t="s">
        <v>252</v>
      </c>
      <c r="I181" s="4" t="s">
        <v>250</v>
      </c>
      <c r="J181" s="4">
        <v>1</v>
      </c>
      <c r="K181" s="4" t="s">
        <v>234</v>
      </c>
      <c r="L181" s="4" t="s">
        <v>235</v>
      </c>
      <c r="M181" s="4">
        <v>240</v>
      </c>
      <c r="N181" s="4">
        <v>300</v>
      </c>
      <c r="O181" s="4" t="s">
        <v>44</v>
      </c>
      <c r="P181" s="4" t="s">
        <v>45</v>
      </c>
      <c r="Q181" s="4" t="s">
        <v>46</v>
      </c>
      <c r="R181" s="4" t="s">
        <v>241</v>
      </c>
      <c r="S181" s="4">
        <v>17.600000000000001</v>
      </c>
      <c r="T181" s="4">
        <f>BOM[[#This Row],[Longueur Tissage]]*BOM[[#This Row],[Duite Par Cm]]</f>
        <v>5280</v>
      </c>
      <c r="U181" s="8"/>
      <c r="V181" s="8"/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</row>
    <row r="182" spans="1:28" x14ac:dyDescent="0.25">
      <c r="A182" s="3" t="str">
        <f>CONCATENATE(BOM[[#This Row],[Code Modèle]],BOM[[#This Row],[Code Dimensions]],"(",BOM[[#This Row],[Code Type De Finition]],")","-",BOM[[#This Row],[Code Nombre de couleur]])</f>
        <v>PIC1824(FR)-B</v>
      </c>
      <c r="B182" s="4" t="s">
        <v>182</v>
      </c>
      <c r="C182" s="4" t="s">
        <v>183</v>
      </c>
      <c r="D182" s="4" t="s">
        <v>224</v>
      </c>
      <c r="E182" s="4" t="s">
        <v>228</v>
      </c>
      <c r="F182" s="4" t="s">
        <v>78</v>
      </c>
      <c r="G182" s="7" t="s">
        <v>199</v>
      </c>
      <c r="H182" s="4" t="s">
        <v>252</v>
      </c>
      <c r="I182" s="4" t="s">
        <v>250</v>
      </c>
      <c r="J182" s="4">
        <v>1</v>
      </c>
      <c r="K182" s="4" t="s">
        <v>236</v>
      </c>
      <c r="L182" s="4" t="s">
        <v>42</v>
      </c>
      <c r="M182" s="4">
        <v>180</v>
      </c>
      <c r="N182" s="4">
        <v>280</v>
      </c>
      <c r="O182" s="4" t="s">
        <v>44</v>
      </c>
      <c r="P182" s="4" t="s">
        <v>45</v>
      </c>
      <c r="Q182" s="4" t="s">
        <v>46</v>
      </c>
      <c r="R182" s="4" t="s">
        <v>241</v>
      </c>
      <c r="S182" s="4">
        <v>17.600000000000001</v>
      </c>
      <c r="T182" s="4">
        <f>BOM[[#This Row],[Longueur Tissage]]*BOM[[#This Row],[Duite Par Cm]]</f>
        <v>4928</v>
      </c>
      <c r="U182" s="8"/>
      <c r="V182" s="8"/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</row>
    <row r="183" spans="1:28" x14ac:dyDescent="0.25">
      <c r="A183" s="3" t="str">
        <f>CONCATENATE(BOM[[#This Row],[Code Modèle]],BOM[[#This Row],[Code Dimensions]],"(",BOM[[#This Row],[Code Type De Finition]],")","-",BOM[[#This Row],[Code Nombre de couleur]])</f>
        <v>PIC2426(FR)-B</v>
      </c>
      <c r="B183" s="4" t="s">
        <v>182</v>
      </c>
      <c r="C183" s="4" t="s">
        <v>183</v>
      </c>
      <c r="D183" s="4" t="s">
        <v>224</v>
      </c>
      <c r="E183" s="4" t="s">
        <v>228</v>
      </c>
      <c r="F183" s="4" t="s">
        <v>52</v>
      </c>
      <c r="G183" s="7">
        <v>2426</v>
      </c>
      <c r="H183" s="4" t="s">
        <v>252</v>
      </c>
      <c r="I183" s="4" t="s">
        <v>250</v>
      </c>
      <c r="J183" s="4">
        <v>1</v>
      </c>
      <c r="K183" s="4" t="s">
        <v>236</v>
      </c>
      <c r="L183" s="4" t="s">
        <v>42</v>
      </c>
      <c r="M183" s="4">
        <v>240</v>
      </c>
      <c r="N183" s="4">
        <v>300</v>
      </c>
      <c r="O183" s="4" t="s">
        <v>44</v>
      </c>
      <c r="P183" s="4" t="s">
        <v>45</v>
      </c>
      <c r="Q183" s="4" t="s">
        <v>46</v>
      </c>
      <c r="R183" s="4" t="s">
        <v>241</v>
      </c>
      <c r="S183" s="4">
        <v>17.600000000000001</v>
      </c>
      <c r="T183" s="4">
        <f>BOM[[#This Row],[Longueur Tissage]]*BOM[[#This Row],[Duite Par Cm]]</f>
        <v>5280</v>
      </c>
      <c r="U183" s="8"/>
      <c r="V183" s="8"/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</row>
    <row r="184" spans="1:28" x14ac:dyDescent="0.25">
      <c r="A184" s="3" t="str">
        <f>CONCATENATE(BOM[[#This Row],[Code Modèle]],BOM[[#This Row],[Code Dimensions]],"(",BOM[[#This Row],[Code Type De Finition]],")","-",BOM[[#This Row],[Code Nombre de couleur]])</f>
        <v>PIC2430(FR)-B</v>
      </c>
      <c r="B184" s="4" t="s">
        <v>182</v>
      </c>
      <c r="C184" s="4" t="s">
        <v>183</v>
      </c>
      <c r="D184" s="4" t="s">
        <v>224</v>
      </c>
      <c r="E184" s="4" t="s">
        <v>228</v>
      </c>
      <c r="F184" s="4" t="s">
        <v>136</v>
      </c>
      <c r="G184" s="7">
        <v>2430</v>
      </c>
      <c r="H184" s="4" t="s">
        <v>252</v>
      </c>
      <c r="I184" s="4" t="s">
        <v>250</v>
      </c>
      <c r="J184" s="4">
        <v>1</v>
      </c>
      <c r="K184" s="4" t="s">
        <v>236</v>
      </c>
      <c r="L184" s="4" t="s">
        <v>42</v>
      </c>
      <c r="M184" s="4">
        <v>240</v>
      </c>
      <c r="N184" s="4">
        <v>340</v>
      </c>
      <c r="O184" s="4" t="s">
        <v>44</v>
      </c>
      <c r="P184" s="4" t="s">
        <v>45</v>
      </c>
      <c r="Q184" s="4" t="s">
        <v>46</v>
      </c>
      <c r="R184" s="4" t="s">
        <v>241</v>
      </c>
      <c r="S184" s="4">
        <v>17.600000000000001</v>
      </c>
      <c r="T184" s="4">
        <f>BOM[[#This Row],[Longueur Tissage]]*BOM[[#This Row],[Duite Par Cm]]</f>
        <v>5984.0000000000009</v>
      </c>
      <c r="U184" s="8"/>
      <c r="V184" s="8"/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</row>
    <row r="185" spans="1:28" x14ac:dyDescent="0.25">
      <c r="A185" s="3" t="str">
        <f>CONCATENATE(BOM[[#This Row],[Code Modèle]],BOM[[#This Row],[Code Dimensions]],"(",BOM[[#This Row],[Code Type De Finition]],")","-",BOM[[#This Row],[Code Nombre de couleur]])</f>
        <v>LO1020(FR)-B</v>
      </c>
      <c r="B185" s="4" t="s">
        <v>184</v>
      </c>
      <c r="C185" s="4" t="s">
        <v>185</v>
      </c>
      <c r="D185" s="4" t="s">
        <v>224</v>
      </c>
      <c r="E185" s="4" t="s">
        <v>228</v>
      </c>
      <c r="F185" s="4" t="s">
        <v>43</v>
      </c>
      <c r="G185" s="7">
        <v>1020</v>
      </c>
      <c r="H185" s="4" t="s">
        <v>251</v>
      </c>
      <c r="I185" s="4" t="s">
        <v>250</v>
      </c>
      <c r="J185" s="4">
        <v>1</v>
      </c>
      <c r="K185" s="4" t="s">
        <v>236</v>
      </c>
      <c r="L185" s="4" t="s">
        <v>42</v>
      </c>
      <c r="M185" s="4">
        <v>100</v>
      </c>
      <c r="N185" s="4">
        <v>240</v>
      </c>
      <c r="O185" s="4" t="s">
        <v>44</v>
      </c>
      <c r="P185" s="4" t="s">
        <v>45</v>
      </c>
      <c r="Q185" s="4" t="s">
        <v>46</v>
      </c>
      <c r="R185" s="4" t="s">
        <v>241</v>
      </c>
      <c r="S185" s="4">
        <v>15</v>
      </c>
      <c r="T185" s="4">
        <f>BOM[[#This Row],[Longueur Tissage]]*BOM[[#This Row],[Duite Par Cm]]</f>
        <v>3600</v>
      </c>
      <c r="U185" s="9">
        <v>0.43</v>
      </c>
      <c r="V185" s="9">
        <v>0.05</v>
      </c>
      <c r="W185" s="9">
        <v>0</v>
      </c>
      <c r="X185" s="9">
        <v>0</v>
      </c>
      <c r="Y185" s="9">
        <v>0</v>
      </c>
      <c r="Z185" s="9">
        <v>0</v>
      </c>
      <c r="AA185" s="8">
        <v>0</v>
      </c>
      <c r="AB185" s="8">
        <v>0</v>
      </c>
    </row>
    <row r="186" spans="1:28" x14ac:dyDescent="0.25">
      <c r="A186" s="3" t="str">
        <f>CONCATENATE(BOM[[#This Row],[Code Modèle]],BOM[[#This Row],[Code Dimensions]],"(",BOM[[#This Row],[Code Type De Finition]],")","-",BOM[[#This Row],[Code Nombre de couleur]])</f>
        <v>LO1020(FR)-B</v>
      </c>
      <c r="B186" s="4" t="s">
        <v>184</v>
      </c>
      <c r="C186" s="4" t="s">
        <v>185</v>
      </c>
      <c r="D186" s="4" t="s">
        <v>224</v>
      </c>
      <c r="E186" s="4" t="s">
        <v>228</v>
      </c>
      <c r="F186" s="4" t="s">
        <v>43</v>
      </c>
      <c r="G186" s="7">
        <v>1020</v>
      </c>
      <c r="H186" s="4" t="s">
        <v>251</v>
      </c>
      <c r="I186" s="4" t="s">
        <v>250</v>
      </c>
      <c r="J186" s="4">
        <v>1</v>
      </c>
      <c r="K186" s="4" t="s">
        <v>236</v>
      </c>
      <c r="L186" s="4" t="s">
        <v>42</v>
      </c>
      <c r="M186" s="4">
        <v>100</v>
      </c>
      <c r="N186" s="4">
        <v>240</v>
      </c>
      <c r="O186" s="4" t="s">
        <v>44</v>
      </c>
      <c r="P186" s="4" t="s">
        <v>45</v>
      </c>
      <c r="Q186" s="4" t="s">
        <v>46</v>
      </c>
      <c r="R186" s="4" t="s">
        <v>241</v>
      </c>
      <c r="S186" s="4">
        <v>14</v>
      </c>
      <c r="T186" s="4">
        <f>BOM[[#This Row],[Longueur Tissage]]*BOM[[#This Row],[Duite Par Cm]]</f>
        <v>3360</v>
      </c>
      <c r="U186" s="9">
        <v>0.43</v>
      </c>
      <c r="V186" s="9">
        <v>0.05</v>
      </c>
      <c r="W186" s="9">
        <v>0</v>
      </c>
      <c r="X186" s="9">
        <v>0</v>
      </c>
      <c r="Y186" s="9">
        <v>0</v>
      </c>
      <c r="Z186" s="9">
        <v>0</v>
      </c>
      <c r="AA186" s="8">
        <v>0</v>
      </c>
      <c r="AB186" s="8">
        <v>0</v>
      </c>
    </row>
    <row r="187" spans="1:28" x14ac:dyDescent="0.25">
      <c r="A187" s="3" t="str">
        <f>CONCATENATE(BOM[[#This Row],[Code Modèle]],BOM[[#This Row],[Code Dimensions]],"(",BOM[[#This Row],[Code Type De Finition]],")","-",BOM[[#This Row],[Code Nombre de couleur]])</f>
        <v>LO1824(FR)-B</v>
      </c>
      <c r="B187" s="4" t="s">
        <v>184</v>
      </c>
      <c r="C187" s="4" t="s">
        <v>185</v>
      </c>
      <c r="D187" s="4" t="s">
        <v>224</v>
      </c>
      <c r="E187" s="4" t="s">
        <v>228</v>
      </c>
      <c r="F187" s="4" t="s">
        <v>78</v>
      </c>
      <c r="G187" s="7" t="s">
        <v>199</v>
      </c>
      <c r="H187" s="4" t="s">
        <v>252</v>
      </c>
      <c r="I187" s="4" t="s">
        <v>250</v>
      </c>
      <c r="J187" s="4">
        <v>1</v>
      </c>
      <c r="K187" s="4" t="s">
        <v>236</v>
      </c>
      <c r="L187" s="4" t="s">
        <v>42</v>
      </c>
      <c r="M187" s="4">
        <v>160</v>
      </c>
      <c r="N187" s="4">
        <v>300</v>
      </c>
      <c r="O187" s="4" t="s">
        <v>44</v>
      </c>
      <c r="P187" s="4" t="s">
        <v>45</v>
      </c>
      <c r="Q187" s="4" t="s">
        <v>46</v>
      </c>
      <c r="R187" s="4" t="s">
        <v>241</v>
      </c>
      <c r="S187" s="4">
        <v>15</v>
      </c>
      <c r="T187" s="4">
        <f>BOM[[#This Row],[Longueur Tissage]]*BOM[[#This Row],[Duite Par Cm]]</f>
        <v>4500</v>
      </c>
      <c r="U187" s="8">
        <v>0.86</v>
      </c>
      <c r="V187" s="8">
        <v>0.15</v>
      </c>
      <c r="W187" s="9">
        <v>0</v>
      </c>
      <c r="X187" s="9">
        <v>0</v>
      </c>
      <c r="Y187" s="9">
        <v>0</v>
      </c>
      <c r="Z187" s="9">
        <v>0</v>
      </c>
      <c r="AA187" s="8">
        <v>0</v>
      </c>
      <c r="AB187" s="8">
        <v>0</v>
      </c>
    </row>
    <row r="188" spans="1:28" x14ac:dyDescent="0.25">
      <c r="A188" s="3" t="str">
        <f>CONCATENATE(BOM[[#This Row],[Code Modèle]],BOM[[#This Row],[Code Dimensions]],"(",BOM[[#This Row],[Code Type De Finition]],")","-",BOM[[#This Row],[Code Nombre de couleur]])</f>
        <v>LO2426(FR)-B</v>
      </c>
      <c r="B188" s="4" t="s">
        <v>184</v>
      </c>
      <c r="C188" s="4" t="s">
        <v>185</v>
      </c>
      <c r="D188" s="4" t="s">
        <v>224</v>
      </c>
      <c r="E188" s="4" t="s">
        <v>228</v>
      </c>
      <c r="F188" s="4" t="s">
        <v>52</v>
      </c>
      <c r="G188" s="7">
        <v>2426</v>
      </c>
      <c r="H188" s="4" t="s">
        <v>252</v>
      </c>
      <c r="I188" s="4" t="s">
        <v>250</v>
      </c>
      <c r="J188" s="4">
        <v>1</v>
      </c>
      <c r="K188" s="4" t="s">
        <v>236</v>
      </c>
      <c r="L188" s="4" t="s">
        <v>42</v>
      </c>
      <c r="M188" s="4">
        <v>240</v>
      </c>
      <c r="N188" s="4">
        <v>300</v>
      </c>
      <c r="O188" s="4" t="s">
        <v>44</v>
      </c>
      <c r="P188" s="4" t="s">
        <v>45</v>
      </c>
      <c r="Q188" s="4" t="s">
        <v>46</v>
      </c>
      <c r="R188" s="4" t="s">
        <v>241</v>
      </c>
      <c r="S188" s="4">
        <v>14</v>
      </c>
      <c r="T188" s="4">
        <f>BOM[[#This Row],[Longueur Tissage]]*BOM[[#This Row],[Duite Par Cm]]</f>
        <v>4200</v>
      </c>
      <c r="U188" s="8">
        <v>1.2</v>
      </c>
      <c r="V188" s="8">
        <v>0.2</v>
      </c>
      <c r="W188" s="9">
        <v>0</v>
      </c>
      <c r="X188" s="9">
        <v>0</v>
      </c>
      <c r="Y188" s="9">
        <v>0</v>
      </c>
      <c r="Z188" s="9">
        <v>0</v>
      </c>
      <c r="AA188" s="8">
        <v>0</v>
      </c>
      <c r="AB188" s="8">
        <v>0</v>
      </c>
    </row>
    <row r="189" spans="1:28" x14ac:dyDescent="0.25">
      <c r="A189" s="3" t="str">
        <f>CONCATENATE(BOM[[#This Row],[Code Modèle]],BOM[[#This Row],[Code Dimensions]],"(",BOM[[#This Row],[Code Type De Finition]],")","-",BOM[[#This Row],[Code Nombre de couleur]])</f>
        <v>LOZ1020(FR)-B</v>
      </c>
      <c r="B189" s="4" t="s">
        <v>186</v>
      </c>
      <c r="C189" s="4" t="s">
        <v>187</v>
      </c>
      <c r="D189" s="4" t="s">
        <v>224</v>
      </c>
      <c r="E189" s="4" t="s">
        <v>228</v>
      </c>
      <c r="F189" s="4" t="s">
        <v>43</v>
      </c>
      <c r="G189" s="7">
        <v>1020</v>
      </c>
      <c r="H189" s="4" t="s">
        <v>251</v>
      </c>
      <c r="I189" s="4" t="s">
        <v>250</v>
      </c>
      <c r="J189" s="4">
        <v>1</v>
      </c>
      <c r="K189" s="4" t="s">
        <v>231</v>
      </c>
      <c r="L189" s="4" t="s">
        <v>42</v>
      </c>
      <c r="M189" s="4">
        <v>100</v>
      </c>
      <c r="N189" s="4">
        <v>240</v>
      </c>
      <c r="O189" s="4" t="s">
        <v>44</v>
      </c>
      <c r="P189" s="4" t="s">
        <v>45</v>
      </c>
      <c r="Q189" s="4" t="s">
        <v>46</v>
      </c>
      <c r="R189" s="4" t="s">
        <v>241</v>
      </c>
      <c r="S189" s="4">
        <v>14</v>
      </c>
      <c r="T189" s="4">
        <f>BOM[[#This Row],[Longueur Tissage]]*BOM[[#This Row],[Duite Par Cm]]</f>
        <v>3360</v>
      </c>
      <c r="U189" s="9">
        <v>0.43</v>
      </c>
      <c r="V189" s="9">
        <v>0.05</v>
      </c>
      <c r="W189" s="9">
        <v>0</v>
      </c>
      <c r="X189" s="9">
        <v>0</v>
      </c>
      <c r="Y189" s="9">
        <v>0</v>
      </c>
      <c r="Z189" s="9">
        <v>0</v>
      </c>
      <c r="AA189" s="8">
        <v>0</v>
      </c>
      <c r="AB189" s="8">
        <v>0</v>
      </c>
    </row>
    <row r="190" spans="1:28" x14ac:dyDescent="0.25">
      <c r="A190" s="3" t="str">
        <f>CONCATENATE(BOM[[#This Row],[Code Modèle]],BOM[[#This Row],[Code Dimensions]],"(",BOM[[#This Row],[Code Type De Finition]],")","-",BOM[[#This Row],[Code Nombre de couleur]])</f>
        <v>LOZ1824(FR)-B</v>
      </c>
      <c r="B190" s="4" t="s">
        <v>186</v>
      </c>
      <c r="C190" s="4" t="s">
        <v>187</v>
      </c>
      <c r="D190" s="4" t="s">
        <v>224</v>
      </c>
      <c r="E190" s="4" t="s">
        <v>228</v>
      </c>
      <c r="F190" s="4" t="s">
        <v>78</v>
      </c>
      <c r="G190" s="7" t="s">
        <v>199</v>
      </c>
      <c r="H190" s="4" t="s">
        <v>252</v>
      </c>
      <c r="I190" s="4" t="s">
        <v>250</v>
      </c>
      <c r="J190" s="4">
        <v>1</v>
      </c>
      <c r="K190" s="4" t="s">
        <v>231</v>
      </c>
      <c r="L190" s="4" t="s">
        <v>42</v>
      </c>
      <c r="M190" s="4">
        <v>160</v>
      </c>
      <c r="N190" s="4">
        <v>300</v>
      </c>
      <c r="O190" s="4" t="s">
        <v>44</v>
      </c>
      <c r="P190" s="4" t="s">
        <v>45</v>
      </c>
      <c r="Q190" s="4" t="s">
        <v>46</v>
      </c>
      <c r="R190" s="4" t="s">
        <v>241</v>
      </c>
      <c r="S190" s="4">
        <v>15</v>
      </c>
      <c r="T190" s="4">
        <f>BOM[[#This Row],[Longueur Tissage]]*BOM[[#This Row],[Duite Par Cm]]</f>
        <v>4500</v>
      </c>
      <c r="U190" s="8">
        <v>0.86</v>
      </c>
      <c r="V190" s="8">
        <v>0.15</v>
      </c>
      <c r="W190" s="9">
        <v>0</v>
      </c>
      <c r="X190" s="9">
        <v>0</v>
      </c>
      <c r="Y190" s="9">
        <v>0</v>
      </c>
      <c r="Z190" s="9">
        <v>0</v>
      </c>
      <c r="AA190" s="8">
        <v>0</v>
      </c>
      <c r="AB190" s="8">
        <v>0</v>
      </c>
    </row>
    <row r="191" spans="1:28" x14ac:dyDescent="0.25">
      <c r="A191" s="3" t="str">
        <f>CONCATENATE(BOM[[#This Row],[Code Modèle]],BOM[[#This Row],[Code Dimensions]],"(",BOM[[#This Row],[Code Type De Finition]],")","-",BOM[[#This Row],[Code Nombre de couleur]])</f>
        <v>VE1020(FR)-B</v>
      </c>
      <c r="B191" s="4" t="s">
        <v>188</v>
      </c>
      <c r="C191" s="4" t="s">
        <v>189</v>
      </c>
      <c r="D191" s="4" t="s">
        <v>224</v>
      </c>
      <c r="E191" s="4" t="s">
        <v>228</v>
      </c>
      <c r="F191" s="4" t="s">
        <v>43</v>
      </c>
      <c r="G191" s="7">
        <v>1020</v>
      </c>
      <c r="H191" s="4" t="s">
        <v>251</v>
      </c>
      <c r="I191" s="4" t="s">
        <v>250</v>
      </c>
      <c r="J191" s="4">
        <v>1</v>
      </c>
      <c r="K191" s="4" t="s">
        <v>231</v>
      </c>
      <c r="L191" s="4" t="s">
        <v>42</v>
      </c>
      <c r="M191" s="4">
        <v>100</v>
      </c>
      <c r="N191" s="4">
        <v>240</v>
      </c>
      <c r="O191" s="4" t="s">
        <v>44</v>
      </c>
      <c r="P191" s="4" t="s">
        <v>45</v>
      </c>
      <c r="Q191" s="4" t="s">
        <v>46</v>
      </c>
      <c r="R191" s="4" t="s">
        <v>241</v>
      </c>
      <c r="S191" s="4">
        <v>14</v>
      </c>
      <c r="T191" s="4">
        <f>BOM[[#This Row],[Longueur Tissage]]*BOM[[#This Row],[Duite Par Cm]]</f>
        <v>3360</v>
      </c>
      <c r="U191" s="9">
        <v>0.43</v>
      </c>
      <c r="V191" s="9">
        <v>0.05</v>
      </c>
      <c r="W191" s="9">
        <v>0</v>
      </c>
      <c r="X191" s="9">
        <v>0</v>
      </c>
      <c r="Y191" s="9">
        <v>0</v>
      </c>
      <c r="Z191" s="9">
        <v>0</v>
      </c>
      <c r="AA191" s="8">
        <v>0</v>
      </c>
      <c r="AB191" s="8">
        <v>0</v>
      </c>
    </row>
    <row r="192" spans="1:28" x14ac:dyDescent="0.25">
      <c r="A192" s="3" t="str">
        <f>CONCATENATE(BOM[[#This Row],[Code Modèle]],BOM[[#This Row],[Code Dimensions]],"(",BOM[[#This Row],[Code Type De Finition]],")","-",BOM[[#This Row],[Code Nombre de couleur]])</f>
        <v>VE1824(FR)-B</v>
      </c>
      <c r="B192" s="4" t="s">
        <v>188</v>
      </c>
      <c r="C192" s="4" t="s">
        <v>189</v>
      </c>
      <c r="D192" s="4" t="s">
        <v>224</v>
      </c>
      <c r="E192" s="4" t="s">
        <v>228</v>
      </c>
      <c r="F192" s="4" t="s">
        <v>78</v>
      </c>
      <c r="G192" s="7" t="s">
        <v>199</v>
      </c>
      <c r="H192" s="4" t="s">
        <v>252</v>
      </c>
      <c r="I192" s="4" t="s">
        <v>250</v>
      </c>
      <c r="J192" s="4">
        <v>1</v>
      </c>
      <c r="K192" s="4" t="s">
        <v>231</v>
      </c>
      <c r="L192" s="4" t="s">
        <v>42</v>
      </c>
      <c r="M192" s="4">
        <v>160</v>
      </c>
      <c r="N192" s="4">
        <v>300</v>
      </c>
      <c r="O192" s="4" t="s">
        <v>44</v>
      </c>
      <c r="P192" s="4" t="s">
        <v>45</v>
      </c>
      <c r="Q192" s="4" t="s">
        <v>46</v>
      </c>
      <c r="R192" s="4" t="s">
        <v>241</v>
      </c>
      <c r="S192" s="4">
        <v>15</v>
      </c>
      <c r="T192" s="4">
        <f>BOM[[#This Row],[Longueur Tissage]]*BOM[[#This Row],[Duite Par Cm]]</f>
        <v>4500</v>
      </c>
      <c r="U192" s="8">
        <v>0.86</v>
      </c>
      <c r="V192" s="8">
        <v>0.15</v>
      </c>
      <c r="W192" s="9">
        <v>0</v>
      </c>
      <c r="X192" s="9">
        <v>0</v>
      </c>
      <c r="Y192" s="9">
        <v>0</v>
      </c>
      <c r="Z192" s="9">
        <v>0</v>
      </c>
      <c r="AA192" s="8">
        <v>0</v>
      </c>
      <c r="AB192" s="8">
        <v>0</v>
      </c>
    </row>
    <row r="193" spans="1:28" x14ac:dyDescent="0.25">
      <c r="A193" s="3" t="str">
        <f>CONCATENATE(BOM[[#This Row],[Code Modèle]],BOM[[#This Row],[Code Dimensions]],"(",BOM[[#This Row],[Code Type De Finition]],")","-",BOM[[#This Row],[Code Nombre de couleur]])</f>
        <v>VE2426(FR)-B</v>
      </c>
      <c r="B193" s="4" t="s">
        <v>188</v>
      </c>
      <c r="C193" s="4" t="s">
        <v>189</v>
      </c>
      <c r="D193" s="4" t="s">
        <v>224</v>
      </c>
      <c r="E193" s="4" t="s">
        <v>228</v>
      </c>
      <c r="F193" s="4" t="s">
        <v>52</v>
      </c>
      <c r="G193" s="7">
        <v>2426</v>
      </c>
      <c r="H193" s="4" t="s">
        <v>252</v>
      </c>
      <c r="I193" s="4" t="s">
        <v>250</v>
      </c>
      <c r="J193" s="4">
        <v>1</v>
      </c>
      <c r="K193" s="4" t="s">
        <v>231</v>
      </c>
      <c r="L193" s="4" t="s">
        <v>42</v>
      </c>
      <c r="M193" s="4">
        <v>240</v>
      </c>
      <c r="N193" s="4">
        <v>300</v>
      </c>
      <c r="O193" s="4" t="s">
        <v>44</v>
      </c>
      <c r="P193" s="4" t="s">
        <v>45</v>
      </c>
      <c r="Q193" s="4" t="s">
        <v>46</v>
      </c>
      <c r="R193" s="4" t="s">
        <v>241</v>
      </c>
      <c r="S193" s="4">
        <v>14</v>
      </c>
      <c r="T193" s="4">
        <f>BOM[[#This Row],[Longueur Tissage]]*BOM[[#This Row],[Duite Par Cm]]</f>
        <v>4200</v>
      </c>
      <c r="U193" s="8">
        <v>1.2</v>
      </c>
      <c r="V193" s="8">
        <v>0.2</v>
      </c>
      <c r="W193" s="9">
        <v>0</v>
      </c>
      <c r="X193" s="9">
        <v>0</v>
      </c>
      <c r="Y193" s="9">
        <v>0</v>
      </c>
      <c r="Z193" s="9">
        <v>0</v>
      </c>
      <c r="AA193" s="8">
        <v>0</v>
      </c>
      <c r="AB193" s="8">
        <v>0</v>
      </c>
    </row>
    <row r="194" spans="1:28" x14ac:dyDescent="0.25">
      <c r="A194" s="3" t="str">
        <f>CONCATENATE(BOM[[#This Row],[Code Modèle]],BOM[[#This Row],[Code Dimensions]],"(",BOM[[#This Row],[Code Type De Finition]],")","-",BOM[[#This Row],[Code Nombre de couleur]])</f>
        <v>SO1020(FR)-Q</v>
      </c>
      <c r="B194" s="4" t="s">
        <v>190</v>
      </c>
      <c r="C194" s="4" t="s">
        <v>216</v>
      </c>
      <c r="D194" s="4" t="s">
        <v>221</v>
      </c>
      <c r="E194" s="4" t="s">
        <v>227</v>
      </c>
      <c r="F194" s="4" t="s">
        <v>43</v>
      </c>
      <c r="G194" s="7">
        <v>1020</v>
      </c>
      <c r="H194" s="4" t="s">
        <v>251</v>
      </c>
      <c r="I194" s="4" t="s">
        <v>250</v>
      </c>
      <c r="J194" s="4">
        <v>1</v>
      </c>
      <c r="K194" s="4" t="s">
        <v>231</v>
      </c>
      <c r="L194" s="4" t="s">
        <v>42</v>
      </c>
      <c r="M194" s="4">
        <v>100</v>
      </c>
      <c r="N194" s="4">
        <v>240</v>
      </c>
      <c r="O194" s="4" t="s">
        <v>66</v>
      </c>
      <c r="P194" s="4" t="s">
        <v>67</v>
      </c>
      <c r="Q194" s="4" t="s">
        <v>46</v>
      </c>
      <c r="R194" s="4" t="s">
        <v>241</v>
      </c>
      <c r="S194" s="4">
        <v>11</v>
      </c>
      <c r="T194" s="4">
        <f>BOM[[#This Row],[Longueur Tissage]]*BOM[[#This Row],[Duite Par Cm]]</f>
        <v>2640</v>
      </c>
      <c r="U194" s="8">
        <v>0.19</v>
      </c>
      <c r="V194" s="8">
        <v>0.05</v>
      </c>
      <c r="W194" s="8">
        <v>0.09</v>
      </c>
      <c r="X194" s="8">
        <v>0.05</v>
      </c>
      <c r="Y194" s="8">
        <v>0</v>
      </c>
      <c r="Z194" s="8">
        <v>0</v>
      </c>
      <c r="AA194" s="9">
        <v>0</v>
      </c>
      <c r="AB194" s="9">
        <v>0</v>
      </c>
    </row>
    <row r="195" spans="1:28" x14ac:dyDescent="0.25">
      <c r="A195" s="3" t="str">
        <f>CONCATENATE(BOM[[#This Row],[Code Modèle]],BOM[[#This Row],[Code Dimensions]],"(",BOM[[#This Row],[Code Type De Finition]],")","-",BOM[[#This Row],[Code Nombre de couleur]])</f>
        <v>DEG1020(FR)-C</v>
      </c>
      <c r="B195" s="4" t="s">
        <v>191</v>
      </c>
      <c r="C195" s="4" t="s">
        <v>192</v>
      </c>
      <c r="D195" s="4" t="s">
        <v>221</v>
      </c>
      <c r="E195" s="4" t="s">
        <v>227</v>
      </c>
      <c r="F195" s="4" t="s">
        <v>43</v>
      </c>
      <c r="G195" s="7">
        <v>1020</v>
      </c>
      <c r="H195" s="4" t="s">
        <v>251</v>
      </c>
      <c r="I195" s="4" t="s">
        <v>250</v>
      </c>
      <c r="J195" s="4">
        <v>1</v>
      </c>
      <c r="K195" s="4" t="s">
        <v>231</v>
      </c>
      <c r="L195" s="4" t="s">
        <v>42</v>
      </c>
      <c r="M195" s="4">
        <v>100</v>
      </c>
      <c r="N195" s="4">
        <v>240</v>
      </c>
      <c r="O195" s="4" t="s">
        <v>72</v>
      </c>
      <c r="P195" s="4" t="s">
        <v>73</v>
      </c>
      <c r="Q195" s="4" t="s">
        <v>46</v>
      </c>
      <c r="R195" s="4" t="s">
        <v>241</v>
      </c>
      <c r="S195" s="4">
        <v>11</v>
      </c>
      <c r="T195" s="4">
        <f>BOM[[#This Row],[Longueur Tissage]]*BOM[[#This Row],[Duite Par Cm]]</f>
        <v>2640</v>
      </c>
      <c r="U195" s="8">
        <v>0.08</v>
      </c>
      <c r="V195" s="8">
        <v>0.05</v>
      </c>
      <c r="W195" s="8">
        <v>0.08</v>
      </c>
      <c r="X195" s="8">
        <v>0.08</v>
      </c>
      <c r="Y195" s="8">
        <v>0.08</v>
      </c>
      <c r="Z195" s="8">
        <v>0</v>
      </c>
      <c r="AA195" s="9">
        <v>0</v>
      </c>
      <c r="AB195" s="9">
        <v>0</v>
      </c>
    </row>
    <row r="196" spans="1:28" x14ac:dyDescent="0.25">
      <c r="A196" s="3" t="str">
        <f>CONCATENATE(BOM[[#This Row],[Code Modèle]],BOM[[#This Row],[Code Dimensions]],"(",BOM[[#This Row],[Code Type De Finition]],")","-",BOM[[#This Row],[Code Nombre de couleur]])</f>
        <v>FI1020(FR)-C</v>
      </c>
      <c r="B196" s="4" t="s">
        <v>193</v>
      </c>
      <c r="C196" s="4" t="s">
        <v>194</v>
      </c>
      <c r="D196" s="4" t="s">
        <v>221</v>
      </c>
      <c r="E196" s="4" t="s">
        <v>227</v>
      </c>
      <c r="F196" s="4" t="s">
        <v>43</v>
      </c>
      <c r="G196" s="7">
        <v>1020</v>
      </c>
      <c r="H196" s="4" t="s">
        <v>251</v>
      </c>
      <c r="I196" s="4" t="s">
        <v>250</v>
      </c>
      <c r="J196" s="4">
        <v>1</v>
      </c>
      <c r="K196" s="4" t="s">
        <v>231</v>
      </c>
      <c r="L196" s="4" t="s">
        <v>42</v>
      </c>
      <c r="M196" s="4">
        <v>100</v>
      </c>
      <c r="N196" s="4">
        <v>240</v>
      </c>
      <c r="O196" s="4" t="s">
        <v>72</v>
      </c>
      <c r="P196" s="4" t="s">
        <v>73</v>
      </c>
      <c r="Q196" s="4" t="s">
        <v>46</v>
      </c>
      <c r="R196" s="4" t="s">
        <v>241</v>
      </c>
      <c r="S196" s="4">
        <v>11</v>
      </c>
      <c r="T196" s="4">
        <f>BOM[[#This Row],[Longueur Tissage]]*BOM[[#This Row],[Duite Par Cm]]</f>
        <v>2640</v>
      </c>
      <c r="U196" s="8">
        <v>0.04</v>
      </c>
      <c r="V196" s="8">
        <v>0.12</v>
      </c>
      <c r="W196" s="8">
        <v>0.12</v>
      </c>
      <c r="X196" s="8">
        <v>0.1</v>
      </c>
      <c r="Y196" s="8">
        <v>0.06</v>
      </c>
      <c r="Z196" s="8">
        <v>0</v>
      </c>
      <c r="AA196" s="9">
        <v>0</v>
      </c>
      <c r="AB196" s="9">
        <v>0</v>
      </c>
    </row>
    <row r="197" spans="1:28" x14ac:dyDescent="0.25">
      <c r="A197" s="3" t="str">
        <f>CONCATENATE(BOM[[#This Row],[Code Modèle]],BOM[[#This Row],[Code Dimensions]],"(",BOM[[#This Row],[Code Type De Finition]],")","-",BOM[[#This Row],[Code Nombre de couleur]])</f>
        <v>INS1824(FR)-Q</v>
      </c>
      <c r="B197" s="4" t="s">
        <v>195</v>
      </c>
      <c r="C197" s="4" t="s">
        <v>196</v>
      </c>
      <c r="D197" s="4" t="s">
        <v>224</v>
      </c>
      <c r="E197" s="4" t="s">
        <v>228</v>
      </c>
      <c r="F197" s="4" t="s">
        <v>78</v>
      </c>
      <c r="G197" s="7" t="s">
        <v>199</v>
      </c>
      <c r="H197" s="4" t="s">
        <v>252</v>
      </c>
      <c r="I197" s="4" t="s">
        <v>250</v>
      </c>
      <c r="J197" s="4">
        <v>1</v>
      </c>
      <c r="K197" s="4" t="s">
        <v>231</v>
      </c>
      <c r="L197" s="4" t="s">
        <v>42</v>
      </c>
      <c r="M197" s="4">
        <v>180</v>
      </c>
      <c r="N197" s="4">
        <v>280</v>
      </c>
      <c r="O197" s="4" t="s">
        <v>66</v>
      </c>
      <c r="P197" s="4" t="s">
        <v>67</v>
      </c>
      <c r="Q197" s="4" t="s">
        <v>46</v>
      </c>
      <c r="R197" s="4" t="s">
        <v>241</v>
      </c>
      <c r="S197" s="4">
        <v>11.2</v>
      </c>
      <c r="T197" s="4">
        <f>BOM[[#This Row],[Longueur Tissage]]*BOM[[#This Row],[Duite Par Cm]]</f>
        <v>3136</v>
      </c>
      <c r="U197" s="8">
        <v>0.42</v>
      </c>
      <c r="V197" s="8">
        <v>0.42</v>
      </c>
      <c r="W197" s="8">
        <v>0.37</v>
      </c>
      <c r="X197" s="8">
        <v>0.2</v>
      </c>
      <c r="Y197" s="8">
        <v>0</v>
      </c>
      <c r="Z197" s="8">
        <v>0</v>
      </c>
      <c r="AA197" s="8">
        <v>0</v>
      </c>
      <c r="AB197" s="8">
        <v>0</v>
      </c>
    </row>
    <row r="198" spans="1:28" x14ac:dyDescent="0.25">
      <c r="A198" s="3" t="str">
        <f>CONCATENATE(BOM[[#This Row],[Code Modèle]],BOM[[#This Row],[Code Dimensions]],"(",BOM[[#This Row],[Code Type De Finition]],")","-",BOM[[#This Row],[Code Nombre de couleur]])</f>
        <v>INS2426(FR)-Q</v>
      </c>
      <c r="B198" s="4" t="s">
        <v>195</v>
      </c>
      <c r="C198" s="4" t="s">
        <v>196</v>
      </c>
      <c r="D198" s="4" t="s">
        <v>224</v>
      </c>
      <c r="E198" s="4" t="s">
        <v>228</v>
      </c>
      <c r="F198" s="4" t="s">
        <v>52</v>
      </c>
      <c r="G198" s="7">
        <v>2426</v>
      </c>
      <c r="H198" s="4" t="s">
        <v>252</v>
      </c>
      <c r="I198" s="4" t="s">
        <v>250</v>
      </c>
      <c r="J198" s="4">
        <v>1</v>
      </c>
      <c r="K198" s="4" t="s">
        <v>231</v>
      </c>
      <c r="L198" s="4" t="s">
        <v>42</v>
      </c>
      <c r="M198" s="4">
        <v>240</v>
      </c>
      <c r="N198" s="4">
        <v>300</v>
      </c>
      <c r="O198" s="4" t="s">
        <v>66</v>
      </c>
      <c r="P198" s="4" t="s">
        <v>67</v>
      </c>
      <c r="Q198" s="4" t="s">
        <v>46</v>
      </c>
      <c r="R198" s="4" t="s">
        <v>241</v>
      </c>
      <c r="S198" s="4">
        <v>11.2</v>
      </c>
      <c r="T198" s="4">
        <f>BOM[[#This Row],[Longueur Tissage]]*BOM[[#This Row],[Duite Par Cm]]</f>
        <v>3360</v>
      </c>
      <c r="U198" s="8">
        <v>0.53</v>
      </c>
      <c r="V198" s="8">
        <v>0.53</v>
      </c>
      <c r="W198" s="8">
        <v>0.46400000000000002</v>
      </c>
      <c r="X198" s="8">
        <v>0.218</v>
      </c>
      <c r="Y198" s="8">
        <v>0</v>
      </c>
      <c r="Z198" s="8">
        <v>0</v>
      </c>
      <c r="AA198" s="8">
        <v>0</v>
      </c>
      <c r="AB198" s="8">
        <v>0</v>
      </c>
    </row>
    <row r="199" spans="1:28" x14ac:dyDescent="0.25">
      <c r="A199" s="12" t="str">
        <f>CONCATENATE(BOM[[#This Row],[Code Modèle]],BOM[[#This Row],[Code Dimensions]],"(",BOM[[#This Row],[Code Type De Finition]],")","-",BOM[[#This Row],[Code Nombre de couleur]])</f>
        <v>INS1824(OU)-Q</v>
      </c>
      <c r="B199" s="4" t="s">
        <v>195</v>
      </c>
      <c r="C199" s="4" t="s">
        <v>196</v>
      </c>
      <c r="D199" s="4" t="s">
        <v>224</v>
      </c>
      <c r="E199" s="4" t="s">
        <v>228</v>
      </c>
      <c r="F199" s="4" t="s">
        <v>78</v>
      </c>
      <c r="G199" s="7" t="s">
        <v>199</v>
      </c>
      <c r="H199" s="4" t="s">
        <v>252</v>
      </c>
      <c r="I199" s="4" t="s">
        <v>250</v>
      </c>
      <c r="J199" s="4">
        <v>1</v>
      </c>
      <c r="K199" s="4" t="s">
        <v>234</v>
      </c>
      <c r="L199" s="4" t="s">
        <v>235</v>
      </c>
      <c r="M199" s="4">
        <v>180</v>
      </c>
      <c r="N199" s="4">
        <v>240</v>
      </c>
      <c r="O199" s="4" t="s">
        <v>66</v>
      </c>
      <c r="P199" s="4" t="s">
        <v>67</v>
      </c>
      <c r="Q199" s="4" t="s">
        <v>46</v>
      </c>
      <c r="R199" s="4" t="s">
        <v>241</v>
      </c>
      <c r="S199" s="4">
        <v>11.2</v>
      </c>
      <c r="T199" s="13">
        <f>BOM[[#This Row],[Longueur Tissage]]*BOM[[#This Row],[Duite Par Cm]]</f>
        <v>2688</v>
      </c>
      <c r="U199" s="8">
        <v>0.42</v>
      </c>
      <c r="V199" s="8">
        <v>0.42</v>
      </c>
      <c r="W199" s="8">
        <v>0.37</v>
      </c>
      <c r="X199" s="8">
        <v>0.2</v>
      </c>
      <c r="Y199" s="8">
        <v>0</v>
      </c>
      <c r="Z199" s="8">
        <v>0</v>
      </c>
      <c r="AA199" s="8">
        <v>0</v>
      </c>
      <c r="AB199" s="8">
        <v>0</v>
      </c>
    </row>
    <row r="200" spans="1:28" x14ac:dyDescent="0.25">
      <c r="A200" s="3" t="str">
        <f>CONCATENATE(BOM[[#This Row],[Code Modèle]],BOM[[#This Row],[Code Dimensions]],"(",BOM[[#This Row],[Code Type De Finition]],")","-",BOM[[#This Row],[Code Nombre de couleur]])</f>
        <v>INS2426(OU)-Q</v>
      </c>
      <c r="B200" s="4" t="s">
        <v>195</v>
      </c>
      <c r="C200" s="4" t="s">
        <v>196</v>
      </c>
      <c r="D200" s="4" t="s">
        <v>224</v>
      </c>
      <c r="E200" s="4" t="s">
        <v>228</v>
      </c>
      <c r="F200" s="4" t="s">
        <v>52</v>
      </c>
      <c r="G200" s="7">
        <v>2426</v>
      </c>
      <c r="H200" s="4" t="s">
        <v>252</v>
      </c>
      <c r="I200" s="4" t="s">
        <v>250</v>
      </c>
      <c r="J200" s="4">
        <v>1</v>
      </c>
      <c r="K200" s="4" t="s">
        <v>234</v>
      </c>
      <c r="L200" s="4" t="s">
        <v>235</v>
      </c>
      <c r="M200" s="4">
        <v>240</v>
      </c>
      <c r="N200" s="4">
        <v>260</v>
      </c>
      <c r="O200" s="4" t="s">
        <v>66</v>
      </c>
      <c r="P200" s="4" t="s">
        <v>67</v>
      </c>
      <c r="Q200" s="4" t="s">
        <v>46</v>
      </c>
      <c r="R200" s="4" t="s">
        <v>241</v>
      </c>
      <c r="S200" s="4">
        <v>11.2</v>
      </c>
      <c r="T200" s="4">
        <f>BOM[[#This Row],[Longueur Tissage]]*BOM[[#This Row],[Duite Par Cm]]</f>
        <v>2912</v>
      </c>
      <c r="U200" s="8">
        <v>0.53</v>
      </c>
      <c r="V200" s="8">
        <v>0.53</v>
      </c>
      <c r="W200" s="8">
        <v>0.46400000000000002</v>
      </c>
      <c r="X200" s="8">
        <v>0.218</v>
      </c>
      <c r="Y200" s="8">
        <v>0</v>
      </c>
      <c r="Z200" s="8">
        <v>0</v>
      </c>
      <c r="AA200" s="8">
        <v>0</v>
      </c>
      <c r="AB200" s="8">
        <v>0</v>
      </c>
    </row>
    <row r="201" spans="1:28" x14ac:dyDescent="0.25">
      <c r="A201" s="3" t="str">
        <f>CONCATENATE(BOM[[#This Row],[Code Modèle]],BOM[[#This Row],[Code Dimensions]],"(",BOM[[#This Row],[Code Type De Finition]],")","-",BOM[[#This Row],[Code Nombre de couleur]])</f>
        <v>UNS2426(OU)-U</v>
      </c>
      <c r="B201" s="4" t="s">
        <v>99</v>
      </c>
      <c r="C201" s="4" t="s">
        <v>100</v>
      </c>
      <c r="D201" s="4" t="s">
        <v>221</v>
      </c>
      <c r="E201" s="4" t="s">
        <v>227</v>
      </c>
      <c r="F201" s="4" t="s">
        <v>52</v>
      </c>
      <c r="G201" s="7">
        <v>2426</v>
      </c>
      <c r="H201" s="4" t="s">
        <v>252</v>
      </c>
      <c r="I201" s="4" t="s">
        <v>250</v>
      </c>
      <c r="J201" s="4">
        <v>1</v>
      </c>
      <c r="K201" s="4" t="s">
        <v>234</v>
      </c>
      <c r="L201" s="4" t="s">
        <v>235</v>
      </c>
      <c r="M201" s="4">
        <v>240</v>
      </c>
      <c r="N201" s="4">
        <v>260</v>
      </c>
      <c r="O201" s="4" t="s">
        <v>79</v>
      </c>
      <c r="P201" s="4" t="s">
        <v>80</v>
      </c>
      <c r="Q201" s="4" t="s">
        <v>46</v>
      </c>
      <c r="R201" s="4" t="s">
        <v>241</v>
      </c>
      <c r="S201" s="4">
        <v>10.4</v>
      </c>
      <c r="T201" s="4">
        <f>BOM[[#This Row],[Longueur Tissage]]*BOM[[#This Row],[Duite Par Cm]]</f>
        <v>2704</v>
      </c>
      <c r="U201" s="8">
        <v>1.1000000000000001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</row>
    <row r="202" spans="1:28" x14ac:dyDescent="0.25">
      <c r="A202" s="3" t="str">
        <f>CONCATENATE(BOM[[#This Row],[Code Modèle]],BOM[[#This Row],[Code Dimensions]],"(",BOM[[#This Row],[Code Type De Finition]],")","-",BOM[[#This Row],[Code Nombre de couleur]])</f>
        <v>UNS1824(OU)-U</v>
      </c>
      <c r="B202" s="4" t="s">
        <v>99</v>
      </c>
      <c r="C202" s="4" t="s">
        <v>100</v>
      </c>
      <c r="D202" s="4" t="s">
        <v>221</v>
      </c>
      <c r="E202" s="4" t="s">
        <v>227</v>
      </c>
      <c r="F202" s="4" t="s">
        <v>78</v>
      </c>
      <c r="G202" s="7" t="s">
        <v>199</v>
      </c>
      <c r="H202" s="4" t="s">
        <v>252</v>
      </c>
      <c r="I202" s="4" t="s">
        <v>250</v>
      </c>
      <c r="J202" s="4">
        <v>1</v>
      </c>
      <c r="K202" s="4" t="s">
        <v>234</v>
      </c>
      <c r="L202" s="4" t="s">
        <v>235</v>
      </c>
      <c r="M202" s="4">
        <v>180</v>
      </c>
      <c r="N202" s="4">
        <v>240</v>
      </c>
      <c r="O202" s="4" t="s">
        <v>79</v>
      </c>
      <c r="P202" s="4" t="s">
        <v>80</v>
      </c>
      <c r="Q202" s="4" t="s">
        <v>46</v>
      </c>
      <c r="R202" s="4" t="s">
        <v>241</v>
      </c>
      <c r="S202" s="4">
        <v>10.4</v>
      </c>
      <c r="T202" s="4">
        <f>BOM[[#This Row],[Longueur Tissage]]*BOM[[#This Row],[Duite Par Cm]]</f>
        <v>2496</v>
      </c>
      <c r="U202" s="8">
        <v>0.6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</row>
    <row r="203" spans="1:28" x14ac:dyDescent="0.25">
      <c r="A203" s="12" t="str">
        <f>CONCATENATE(BOM[[#This Row],[Code Modèle]],BOM[[#This Row],[Code Dimensions]],"(",BOM[[#This Row],[Code Type De Finition]],")","-",BOM[[#This Row],[Code Nombre de couleur]])</f>
        <v>FAF1020(FR)-B</v>
      </c>
      <c r="B203" s="4" t="s">
        <v>148</v>
      </c>
      <c r="C203" s="13" t="s">
        <v>149</v>
      </c>
      <c r="D203" s="4" t="s">
        <v>221</v>
      </c>
      <c r="E203" s="4" t="s">
        <v>227</v>
      </c>
      <c r="F203" s="13" t="s">
        <v>43</v>
      </c>
      <c r="G203" s="7">
        <v>1020</v>
      </c>
      <c r="H203" s="13" t="s">
        <v>251</v>
      </c>
      <c r="I203" s="4" t="s">
        <v>250</v>
      </c>
      <c r="J203" s="4">
        <v>1</v>
      </c>
      <c r="K203" s="4" t="s">
        <v>231</v>
      </c>
      <c r="L203" s="13" t="s">
        <v>42</v>
      </c>
      <c r="M203" s="13">
        <v>100</v>
      </c>
      <c r="N203" s="13">
        <v>200</v>
      </c>
      <c r="O203" s="4" t="s">
        <v>44</v>
      </c>
      <c r="P203" s="4" t="s">
        <v>45</v>
      </c>
      <c r="Q203" s="4" t="s">
        <v>46</v>
      </c>
      <c r="R203" s="4" t="s">
        <v>241</v>
      </c>
      <c r="S203" s="13">
        <v>11</v>
      </c>
      <c r="T203" s="13">
        <f>BOM[[#This Row],[Longueur Tissage]]*BOM[[#This Row],[Duite Par Cm]]</f>
        <v>2200</v>
      </c>
      <c r="U203" s="14">
        <v>0.16</v>
      </c>
      <c r="V203" s="14">
        <v>0.15</v>
      </c>
      <c r="W203" s="8">
        <v>0</v>
      </c>
      <c r="X203" s="8">
        <v>0</v>
      </c>
      <c r="Y203" s="8">
        <v>0</v>
      </c>
      <c r="Z203" s="9">
        <v>0</v>
      </c>
      <c r="AA203" s="9">
        <v>0</v>
      </c>
      <c r="AB203" s="9">
        <v>0</v>
      </c>
    </row>
    <row r="204" spans="1:28" x14ac:dyDescent="0.25">
      <c r="A204" s="12" t="str">
        <f>CONCATENATE(BOM[[#This Row],[Code Modèle]],BOM[[#This Row],[Code Dimensions]],"(",BOM[[#This Row],[Code Type De Finition]],")","-",BOM[[#This Row],[Code Nombre de couleur]])</f>
        <v>SIB0404(OU)-B</v>
      </c>
      <c r="B204" s="13" t="s">
        <v>319</v>
      </c>
      <c r="C204" s="13" t="s">
        <v>324</v>
      </c>
      <c r="D204" s="4" t="s">
        <v>221</v>
      </c>
      <c r="E204" s="4" t="s">
        <v>227</v>
      </c>
      <c r="F204" s="13" t="s">
        <v>325</v>
      </c>
      <c r="G204" s="35" t="s">
        <v>320</v>
      </c>
      <c r="H204" s="13" t="s">
        <v>326</v>
      </c>
      <c r="I204" s="13" t="s">
        <v>250</v>
      </c>
      <c r="J204" s="13">
        <v>1</v>
      </c>
      <c r="K204" s="13" t="s">
        <v>234</v>
      </c>
      <c r="L204" s="13" t="s">
        <v>235</v>
      </c>
      <c r="M204" s="13">
        <v>40</v>
      </c>
      <c r="N204" s="13">
        <v>15</v>
      </c>
      <c r="O204" s="13" t="s">
        <v>44</v>
      </c>
      <c r="P204" s="13" t="s">
        <v>45</v>
      </c>
      <c r="Q204" s="13" t="s">
        <v>46</v>
      </c>
      <c r="R204" s="13" t="s">
        <v>241</v>
      </c>
      <c r="S204" s="13">
        <v>14</v>
      </c>
      <c r="T204" s="13">
        <f>BOM[[#This Row],[Longueur Tissage]]*BOM[[#This Row],[Duite Par Cm]]</f>
        <v>210</v>
      </c>
      <c r="U204" s="14">
        <v>0.05</v>
      </c>
      <c r="V204" s="14">
        <v>0.02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6ce0c2-8ccd-48e5-a9cc-8f363ec5f66b" xsi:nil="true"/>
    <lcf76f155ced4ddcb4097134ff3c332f xmlns="34930b9f-d688-4035-8039-4e73b39ed398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C79D99AC7FB649873C7103240C98A2" ma:contentTypeVersion="10" ma:contentTypeDescription="Crée un document." ma:contentTypeScope="" ma:versionID="b37fa92b659a3879d068af05744f5cf4">
  <xsd:schema xmlns:xsd="http://www.w3.org/2001/XMLSchema" xmlns:xs="http://www.w3.org/2001/XMLSchema" xmlns:p="http://schemas.microsoft.com/office/2006/metadata/properties" xmlns:ns2="34930b9f-d688-4035-8039-4e73b39ed398" xmlns:ns3="176ce0c2-8ccd-48e5-a9cc-8f363ec5f66b" targetNamespace="http://schemas.microsoft.com/office/2006/metadata/properties" ma:root="true" ma:fieldsID="74666aa94d396bad6a4aff18f04194b9" ns2:_="" ns3:_="">
    <xsd:import namespace="34930b9f-d688-4035-8039-4e73b39ed398"/>
    <xsd:import namespace="176ce0c2-8ccd-48e5-a9cc-8f363ec5f6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30b9f-d688-4035-8039-4e73b39ed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18391504-2b99-4f00-93f0-46498fe15e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6ce0c2-8ccd-48e5-a9cc-8f363ec5f66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5a8e04a-0af1-48f7-bfdf-5994485298d2}" ma:internalName="TaxCatchAll" ma:showField="CatchAllData" ma:web="176ce0c2-8ccd-48e5-a9cc-8f363ec5f6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AC7BD5-C9B5-406A-AB55-A0BAEA06D85C}">
  <ds:schemaRefs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176ce0c2-8ccd-48e5-a9cc-8f363ec5f66b"/>
    <ds:schemaRef ds:uri="http://purl.org/dc/elements/1.1/"/>
    <ds:schemaRef ds:uri="http://schemas.microsoft.com/office/infopath/2007/PartnerControls"/>
    <ds:schemaRef ds:uri="34930b9f-d688-4035-8039-4e73b39ed398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4F9816F-4010-47B7-9B73-6FEAD80E296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C76E394-F429-465C-BC5B-7452B65205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8AA5FF3-114B-42B7-A9B4-7B1BC1B496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930b9f-d688-4035-8039-4e73b39ed398"/>
    <ds:schemaRef ds:uri="176ce0c2-8ccd-48e5-a9cc-8f363ec5f6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Equipement</vt:lpstr>
      <vt:lpstr>Equipe de Fabrication</vt:lpstr>
      <vt:lpstr>BOM</vt:lpstr>
      <vt:lpstr>Liste_code_param</vt:lpstr>
      <vt:lpstr>Machine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HAMDI SGHAIER</dc:creator>
  <cp:keywords/>
  <dc:description/>
  <cp:lastModifiedBy>HAMDI SGHAIER</cp:lastModifiedBy>
  <cp:revision/>
  <cp:lastPrinted>2025-10-16T12:25:43Z</cp:lastPrinted>
  <dcterms:created xsi:type="dcterms:W3CDTF">2025-10-01T23:23:49Z</dcterms:created>
  <dcterms:modified xsi:type="dcterms:W3CDTF">2025-10-18T16:13:07Z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0x010100E1C79D99AC7FB649873C7103240C98A2</vt:lpwstr>
  </property>
  <property fmtid="{D5CDD505-2E9C-101B-9397-08002B2CF9AE}" pid="3" name="MediaServiceImageTags">
    <vt:lpwstr/>
  </property>
</Properties>
</file>