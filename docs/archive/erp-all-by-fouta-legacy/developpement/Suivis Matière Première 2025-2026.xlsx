
<file path=[Content_Types].xml><?xml version="1.0" encoding="utf-8"?>
<Types xmlns="http://schemas.openxmlformats.org/package/2006/content-types">
  <Default Extension="00" ContentType="image/png"/>
  <Default Extension="01" ContentType="image/png"/>
  <Default Extension="02" ContentType="image/png"/>
  <Default Extension="03" ContentType="image/png"/>
  <Default Extension="5" ContentType="image/png"/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WebImage.xml" ContentType="application/vnd.ms-excel.rdrichvaluewebimage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/>
  <mc:AlternateContent xmlns:mc="http://schemas.openxmlformats.org/markup-compatibility/2006">
    <mc:Choice Requires="x15">
      <x15ac:absPath xmlns:x15ac="http://schemas.microsoft.com/office/spreadsheetml/2010/11/ac" url="C:\Users\HAMDISGHAIER\Downloads\"/>
    </mc:Choice>
  </mc:AlternateContent>
  <xr:revisionPtr revIDLastSave="0" documentId="8_{114D9353-C696-445E-A8D1-48AAE1FD157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urniture" sheetId="2" r:id="rId1"/>
    <sheet name="Matière première" sheetId="3" r:id="rId2"/>
    <sheet name="Stock par Entrepot" sheetId="4" r:id="rId3"/>
    <sheet name="Vignette Mp" sheetId="6" r:id="rId4"/>
    <sheet name="Vignette Fourniture" sheetId="8" r:id="rId5"/>
  </sheets>
  <definedNames>
    <definedName name="_xlnm._FilterDatabase" localSheetId="0" hidden="1">Fourniture!#REF!</definedName>
    <definedName name="_xlnm._FilterDatabase" localSheetId="1" hidden="1">'Matière première'!$A$1:$H$83</definedName>
    <definedName name="_xlcn.WorksheetConnection_SuivisMatièrePremière20252026.xlsxMp1" hidden="1">Matiere_premiere[]</definedName>
    <definedName name="code_couleur">#REF!</definedName>
    <definedName name="Liste_equipe">#REF!</definedName>
    <definedName name="liste_lot">#REF!</definedName>
    <definedName name="liste_of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Mp" name="Mp" connection="WorksheetConnection_Suivis Matière Première 2025-2026.xlsx!Mp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2" l="1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2" i="4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W3" i="3"/>
  <c r="W2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32" i="3"/>
  <c r="W33" i="3"/>
  <c r="W34" i="3"/>
  <c r="W35" i="3"/>
  <c r="W36" i="3"/>
  <c r="W37" i="3"/>
  <c r="W38" i="3"/>
  <c r="W39" i="3"/>
  <c r="W40" i="3"/>
  <c r="W41" i="3"/>
  <c r="W42" i="3"/>
  <c r="W43" i="3"/>
  <c r="W44" i="3"/>
  <c r="W45" i="3"/>
  <c r="W46" i="3"/>
  <c r="W47" i="3"/>
  <c r="W48" i="3"/>
  <c r="W49" i="3"/>
  <c r="W50" i="3"/>
  <c r="W51" i="3"/>
  <c r="W52" i="3"/>
  <c r="W53" i="3"/>
  <c r="W54" i="3"/>
  <c r="W55" i="3"/>
  <c r="W56" i="3"/>
  <c r="W57" i="3"/>
  <c r="W58" i="3"/>
  <c r="W59" i="3"/>
  <c r="W60" i="3"/>
  <c r="W61" i="3"/>
  <c r="W62" i="3"/>
  <c r="W63" i="3"/>
  <c r="W64" i="3"/>
  <c r="W65" i="3"/>
  <c r="W66" i="3"/>
  <c r="W67" i="3"/>
  <c r="W68" i="3"/>
  <c r="W69" i="3"/>
  <c r="W70" i="3"/>
  <c r="W71" i="3"/>
  <c r="W72" i="3"/>
  <c r="W73" i="3"/>
  <c r="W74" i="3"/>
  <c r="W75" i="3"/>
  <c r="W76" i="3"/>
  <c r="W77" i="3"/>
  <c r="W78" i="3"/>
  <c r="W79" i="3"/>
  <c r="W80" i="3"/>
  <c r="W81" i="3"/>
  <c r="W82" i="3"/>
  <c r="W83" i="3"/>
  <c r="W84" i="3"/>
  <c r="W85" i="3"/>
  <c r="W86" i="3"/>
  <c r="W87" i="3"/>
  <c r="W88" i="3"/>
  <c r="W89" i="3"/>
  <c r="W90" i="3"/>
  <c r="W91" i="3"/>
  <c r="W92" i="3"/>
  <c r="W93" i="3"/>
  <c r="W94" i="3"/>
  <c r="W95" i="3"/>
  <c r="W96" i="3"/>
  <c r="W97" i="3"/>
  <c r="W98" i="3"/>
  <c r="W99" i="3"/>
  <c r="W100" i="3"/>
  <c r="W101" i="3"/>
  <c r="W102" i="3"/>
  <c r="W103" i="3"/>
  <c r="W104" i="3"/>
  <c r="W105" i="3"/>
  <c r="W106" i="3"/>
  <c r="W107" i="3"/>
  <c r="W108" i="3"/>
  <c r="W109" i="3"/>
  <c r="W110" i="3"/>
  <c r="W111" i="3"/>
  <c r="W112" i="3"/>
  <c r="W113" i="3"/>
  <c r="W114" i="3"/>
  <c r="W115" i="3"/>
  <c r="W116" i="3"/>
  <c r="W117" i="3"/>
  <c r="W118" i="3"/>
  <c r="W119" i="3"/>
  <c r="W120" i="3"/>
  <c r="W121" i="3"/>
  <c r="W122" i="3"/>
  <c r="W123" i="3"/>
  <c r="W124" i="3"/>
  <c r="W125" i="3"/>
  <c r="W126" i="3"/>
  <c r="W127" i="3"/>
  <c r="W128" i="3"/>
  <c r="W129" i="3"/>
  <c r="W130" i="3"/>
  <c r="W131" i="3"/>
  <c r="W132" i="3"/>
  <c r="W133" i="3"/>
  <c r="W134" i="3"/>
  <c r="W135" i="3"/>
  <c r="W136" i="3"/>
  <c r="W137" i="3"/>
  <c r="W138" i="3"/>
  <c r="W139" i="3"/>
  <c r="W140" i="3"/>
  <c r="W141" i="3"/>
  <c r="W142" i="3"/>
  <c r="W143" i="3"/>
  <c r="W144" i="3"/>
  <c r="W145" i="3"/>
  <c r="W146" i="3"/>
  <c r="W147" i="3"/>
  <c r="W148" i="3"/>
  <c r="W149" i="3"/>
  <c r="W150" i="3"/>
  <c r="W151" i="3"/>
  <c r="W152" i="3"/>
  <c r="W153" i="3"/>
  <c r="W154" i="3"/>
  <c r="W155" i="3"/>
  <c r="W156" i="3"/>
  <c r="W157" i="3"/>
  <c r="W158" i="3"/>
  <c r="W159" i="3"/>
  <c r="W160" i="3"/>
  <c r="W161" i="3"/>
  <c r="W162" i="3"/>
  <c r="W163" i="3"/>
  <c r="W164" i="3"/>
  <c r="W165" i="3"/>
  <c r="W166" i="3"/>
  <c r="W167" i="3"/>
  <c r="W168" i="3"/>
  <c r="W169" i="3"/>
  <c r="W170" i="3"/>
  <c r="W171" i="3"/>
  <c r="W172" i="3"/>
  <c r="W173" i="3"/>
  <c r="W174" i="3"/>
  <c r="W175" i="3"/>
  <c r="W176" i="3"/>
  <c r="W177" i="3"/>
  <c r="W178" i="3"/>
  <c r="W179" i="3"/>
  <c r="W180" i="3"/>
  <c r="W181" i="3"/>
  <c r="W182" i="3"/>
  <c r="W183" i="3"/>
  <c r="W184" i="3"/>
  <c r="W185" i="3"/>
  <c r="W186" i="3"/>
  <c r="W187" i="3"/>
  <c r="W188" i="3"/>
  <c r="W189" i="3"/>
  <c r="W190" i="3"/>
  <c r="W191" i="3"/>
  <c r="W192" i="3"/>
  <c r="W193" i="3"/>
  <c r="W194" i="3"/>
  <c r="W195" i="3"/>
  <c r="W196" i="3"/>
  <c r="W197" i="3"/>
  <c r="W198" i="3"/>
  <c r="W199" i="3"/>
  <c r="W200" i="3"/>
  <c r="W201" i="3"/>
  <c r="W202" i="3"/>
  <c r="W203" i="3"/>
  <c r="W204" i="3"/>
  <c r="W205" i="3"/>
  <c r="W206" i="3"/>
  <c r="W207" i="3"/>
  <c r="W208" i="3"/>
  <c r="W209" i="3"/>
  <c r="W210" i="3"/>
  <c r="W211" i="3"/>
  <c r="W212" i="3"/>
  <c r="W213" i="3"/>
  <c r="W214" i="3"/>
  <c r="W215" i="3"/>
  <c r="W216" i="3"/>
  <c r="W217" i="3"/>
  <c r="W218" i="3"/>
  <c r="W219" i="3"/>
  <c r="W220" i="3"/>
  <c r="W221" i="3"/>
  <c r="W222" i="3"/>
  <c r="W223" i="3"/>
  <c r="W224" i="3"/>
  <c r="W225" i="3"/>
  <c r="W226" i="3"/>
  <c r="W227" i="3"/>
  <c r="W228" i="3"/>
  <c r="W229" i="3"/>
  <c r="W230" i="3"/>
  <c r="W231" i="3"/>
  <c r="W232" i="3"/>
  <c r="W233" i="3"/>
  <c r="W234" i="3"/>
  <c r="W235" i="3"/>
  <c r="W236" i="3"/>
  <c r="W237" i="3"/>
  <c r="W238" i="3"/>
  <c r="W239" i="3"/>
  <c r="W240" i="3"/>
  <c r="W241" i="3"/>
  <c r="W242" i="3"/>
  <c r="W243" i="3"/>
  <c r="W244" i="3"/>
  <c r="W245" i="3"/>
  <c r="W246" i="3"/>
  <c r="W247" i="3"/>
  <c r="W248" i="3"/>
  <c r="W249" i="3"/>
  <c r="W250" i="3"/>
  <c r="W251" i="3"/>
  <c r="W252" i="3"/>
  <c r="W253" i="3"/>
  <c r="W254" i="3"/>
  <c r="W255" i="3"/>
  <c r="W256" i="3"/>
  <c r="W257" i="3"/>
  <c r="W258" i="3"/>
  <c r="W259" i="3"/>
  <c r="W260" i="3"/>
  <c r="W261" i="3"/>
  <c r="W262" i="3"/>
  <c r="W263" i="3"/>
  <c r="W264" i="3"/>
  <c r="W265" i="3"/>
  <c r="W266" i="3"/>
  <c r="W267" i="3"/>
  <c r="W268" i="3"/>
  <c r="W269" i="3"/>
  <c r="W270" i="3"/>
  <c r="W271" i="3"/>
  <c r="W272" i="3"/>
  <c r="W273" i="3"/>
  <c r="W274" i="3"/>
  <c r="W275" i="3"/>
  <c r="W276" i="3"/>
  <c r="W277" i="3"/>
  <c r="W278" i="3"/>
  <c r="W279" i="3"/>
  <c r="W280" i="3"/>
  <c r="W281" i="3"/>
  <c r="W282" i="3"/>
  <c r="W283" i="3"/>
  <c r="W284" i="3"/>
  <c r="W285" i="3"/>
  <c r="W286" i="3"/>
  <c r="W287" i="3"/>
  <c r="W288" i="3"/>
  <c r="W289" i="3"/>
  <c r="W290" i="3"/>
  <c r="W291" i="3"/>
  <c r="W292" i="3"/>
  <c r="W293" i="3"/>
  <c r="W294" i="3"/>
  <c r="W295" i="3"/>
  <c r="W296" i="3"/>
  <c r="W297" i="3"/>
  <c r="W298" i="3"/>
  <c r="W299" i="3"/>
  <c r="W300" i="3"/>
  <c r="W301" i="3"/>
  <c r="W302" i="3"/>
  <c r="W303" i="3"/>
  <c r="W304" i="3"/>
  <c r="W305" i="3"/>
  <c r="W306" i="3"/>
  <c r="W307" i="3"/>
  <c r="W308" i="3"/>
  <c r="W309" i="3"/>
  <c r="W310" i="3"/>
  <c r="W311" i="3"/>
  <c r="W312" i="3"/>
  <c r="W313" i="3"/>
  <c r="W314" i="3"/>
  <c r="W315" i="3"/>
  <c r="W316" i="3"/>
  <c r="W317" i="3"/>
  <c r="W318" i="3"/>
  <c r="W319" i="3"/>
  <c r="W320" i="3"/>
  <c r="W321" i="3"/>
  <c r="W322" i="3"/>
  <c r="W323" i="3"/>
  <c r="W324" i="3"/>
  <c r="W325" i="3"/>
  <c r="W326" i="3"/>
  <c r="W327" i="3"/>
  <c r="W328" i="3"/>
  <c r="W329" i="3"/>
  <c r="W330" i="3"/>
  <c r="W331" i="3"/>
  <c r="W332" i="3"/>
  <c r="W333" i="3"/>
  <c r="W334" i="3"/>
  <c r="W335" i="3"/>
  <c r="W336" i="3"/>
  <c r="W337" i="3"/>
  <c r="W338" i="3"/>
  <c r="W339" i="3"/>
  <c r="W340" i="3"/>
  <c r="W341" i="3"/>
  <c r="W342" i="3"/>
  <c r="W343" i="3"/>
  <c r="W344" i="3"/>
  <c r="W345" i="3"/>
  <c r="W346" i="3"/>
  <c r="W347" i="3"/>
  <c r="W348" i="3"/>
  <c r="W349" i="3"/>
  <c r="W350" i="3"/>
  <c r="W351" i="3"/>
  <c r="W352" i="3"/>
  <c r="W353" i="3"/>
  <c r="W354" i="3"/>
  <c r="W355" i="3"/>
  <c r="W356" i="3"/>
  <c r="W357" i="3"/>
  <c r="W358" i="3"/>
  <c r="W359" i="3"/>
  <c r="W360" i="3"/>
  <c r="W361" i="3"/>
  <c r="W362" i="3"/>
  <c r="W363" i="3"/>
  <c r="W364" i="3"/>
  <c r="W365" i="3"/>
  <c r="W366" i="3"/>
  <c r="W367" i="3"/>
  <c r="W368" i="3"/>
  <c r="W369" i="3"/>
  <c r="W370" i="3"/>
  <c r="W371" i="3"/>
  <c r="W372" i="3"/>
  <c r="W373" i="3"/>
  <c r="W374" i="3"/>
  <c r="W375" i="3"/>
  <c r="W376" i="3"/>
  <c r="W377" i="3"/>
  <c r="W378" i="3"/>
  <c r="W379" i="3"/>
  <c r="W380" i="3"/>
  <c r="W381" i="3"/>
  <c r="W382" i="3"/>
  <c r="W383" i="3"/>
  <c r="W384" i="3"/>
  <c r="W385" i="3"/>
  <c r="W386" i="3"/>
  <c r="W387" i="3"/>
  <c r="W388" i="3"/>
  <c r="W389" i="3"/>
  <c r="W390" i="3"/>
  <c r="W391" i="3"/>
  <c r="W392" i="3"/>
  <c r="W393" i="3"/>
  <c r="W394" i="3"/>
  <c r="W395" i="3"/>
  <c r="W396" i="3"/>
  <c r="W397" i="3"/>
  <c r="W398" i="3"/>
  <c r="W399" i="3"/>
  <c r="W400" i="3"/>
  <c r="W401" i="3"/>
  <c r="W402" i="3"/>
  <c r="W403" i="3"/>
  <c r="W404" i="3"/>
  <c r="W405" i="3"/>
  <c r="W406" i="3"/>
  <c r="W407" i="3"/>
  <c r="W408" i="3"/>
  <c r="W409" i="3"/>
  <c r="W410" i="3"/>
  <c r="W411" i="3"/>
  <c r="W412" i="3"/>
  <c r="W413" i="3"/>
  <c r="W414" i="3"/>
  <c r="W415" i="3"/>
  <c r="W416" i="3"/>
  <c r="W417" i="3"/>
  <c r="W418" i="3"/>
  <c r="W419" i="3"/>
  <c r="W420" i="3"/>
  <c r="W421" i="3"/>
  <c r="W422" i="3"/>
  <c r="W423" i="3"/>
  <c r="W424" i="3"/>
  <c r="W425" i="3"/>
  <c r="W426" i="3"/>
  <c r="W427" i="3"/>
  <c r="W428" i="3"/>
  <c r="W429" i="3"/>
  <c r="W430" i="3"/>
  <c r="W431" i="3"/>
  <c r="W432" i="3"/>
  <c r="W433" i="3"/>
  <c r="W434" i="3"/>
  <c r="W435" i="3"/>
  <c r="W436" i="3"/>
  <c r="W437" i="3"/>
  <c r="W438" i="3"/>
  <c r="W439" i="3"/>
  <c r="W440" i="3"/>
  <c r="W441" i="3"/>
  <c r="W442" i="3"/>
  <c r="W443" i="3"/>
  <c r="W444" i="3"/>
  <c r="W445" i="3"/>
  <c r="W446" i="3"/>
  <c r="W447" i="3"/>
  <c r="W448" i="3"/>
  <c r="W449" i="3"/>
  <c r="W450" i="3"/>
  <c r="W451" i="3"/>
  <c r="W452" i="3"/>
  <c r="W453" i="3"/>
  <c r="W454" i="3"/>
  <c r="W455" i="3"/>
  <c r="W456" i="3"/>
  <c r="W457" i="3"/>
  <c r="W458" i="3"/>
  <c r="W459" i="3"/>
  <c r="W460" i="3"/>
  <c r="W461" i="3"/>
  <c r="W462" i="3"/>
  <c r="W463" i="3"/>
  <c r="W464" i="3"/>
  <c r="W465" i="3"/>
  <c r="W466" i="3"/>
  <c r="W467" i="3"/>
  <c r="W468" i="3"/>
  <c r="W469" i="3"/>
  <c r="W470" i="3"/>
  <c r="W471" i="3"/>
  <c r="W472" i="3"/>
  <c r="W473" i="3"/>
  <c r="W474" i="3"/>
  <c r="W475" i="3"/>
  <c r="W476" i="3"/>
  <c r="W477" i="3"/>
  <c r="W478" i="3"/>
  <c r="W479" i="3"/>
  <c r="W480" i="3"/>
  <c r="W481" i="3"/>
  <c r="W482" i="3"/>
  <c r="W483" i="3"/>
  <c r="W484" i="3"/>
  <c r="W485" i="3"/>
  <c r="W486" i="3"/>
  <c r="W487" i="3"/>
  <c r="W488" i="3"/>
  <c r="W489" i="3"/>
  <c r="W490" i="3"/>
  <c r="W491" i="3"/>
  <c r="W492" i="3"/>
  <c r="W493" i="3"/>
  <c r="W494" i="3"/>
  <c r="W495" i="3"/>
  <c r="W496" i="3"/>
  <c r="W497" i="3"/>
  <c r="W498" i="3"/>
  <c r="W499" i="3"/>
  <c r="W500" i="3"/>
  <c r="W501" i="3"/>
  <c r="W502" i="3"/>
  <c r="W503" i="3"/>
  <c r="W504" i="3"/>
  <c r="W505" i="3"/>
  <c r="W506" i="3"/>
  <c r="W507" i="3"/>
  <c r="W508" i="3"/>
  <c r="W509" i="3"/>
  <c r="W510" i="3"/>
  <c r="W511" i="3"/>
  <c r="W512" i="3"/>
  <c r="W513" i="3"/>
  <c r="W514" i="3"/>
  <c r="W515" i="3"/>
  <c r="W516" i="3"/>
  <c r="W517" i="3"/>
  <c r="W518" i="3"/>
  <c r="W519" i="3"/>
  <c r="W520" i="3"/>
  <c r="W521" i="3"/>
  <c r="W522" i="3"/>
  <c r="W523" i="3"/>
  <c r="W524" i="3"/>
  <c r="W525" i="3"/>
  <c r="W526" i="3"/>
  <c r="W527" i="3"/>
  <c r="W528" i="3"/>
  <c r="W529" i="3"/>
  <c r="W530" i="3"/>
  <c r="W531" i="3"/>
  <c r="W532" i="3"/>
  <c r="W533" i="3"/>
  <c r="W534" i="3"/>
  <c r="W535" i="3"/>
  <c r="W536" i="3"/>
  <c r="W537" i="3"/>
  <c r="W538" i="3"/>
  <c r="W539" i="3"/>
  <c r="W540" i="3"/>
  <c r="W541" i="3"/>
  <c r="W542" i="3"/>
  <c r="W543" i="3"/>
  <c r="W544" i="3"/>
  <c r="W545" i="3"/>
  <c r="W546" i="3"/>
  <c r="W547" i="3"/>
  <c r="W548" i="3"/>
  <c r="W549" i="3"/>
  <c r="W550" i="3"/>
  <c r="W551" i="3"/>
  <c r="W552" i="3"/>
  <c r="W553" i="3"/>
  <c r="W554" i="3"/>
  <c r="W555" i="3"/>
  <c r="W556" i="3"/>
  <c r="W557" i="3"/>
  <c r="W558" i="3"/>
  <c r="W559" i="3"/>
  <c r="W560" i="3"/>
  <c r="W561" i="3"/>
  <c r="W562" i="3"/>
  <c r="W563" i="3"/>
  <c r="W564" i="3"/>
  <c r="W565" i="3"/>
  <c r="W566" i="3"/>
  <c r="W567" i="3"/>
  <c r="W568" i="3"/>
  <c r="W569" i="3"/>
  <c r="W570" i="3"/>
  <c r="W571" i="3"/>
  <c r="W572" i="3"/>
  <c r="W573" i="3"/>
  <c r="W574" i="3"/>
  <c r="W575" i="3"/>
  <c r="W576" i="3"/>
  <c r="W577" i="3"/>
  <c r="W578" i="3"/>
  <c r="W579" i="3"/>
  <c r="W580" i="3"/>
  <c r="W581" i="3"/>
  <c r="W582" i="3"/>
  <c r="W583" i="3"/>
  <c r="W584" i="3"/>
  <c r="W585" i="3"/>
  <c r="W586" i="3"/>
  <c r="W587" i="3"/>
  <c r="W588" i="3"/>
  <c r="W589" i="3"/>
  <c r="W590" i="3"/>
  <c r="W591" i="3"/>
  <c r="W592" i="3"/>
  <c r="W593" i="3"/>
  <c r="W594" i="3"/>
  <c r="W595" i="3"/>
  <c r="W596" i="3"/>
  <c r="W597" i="3"/>
  <c r="W598" i="3"/>
  <c r="W599" i="3"/>
  <c r="W600" i="3"/>
  <c r="W601" i="3"/>
  <c r="W602" i="3"/>
  <c r="W603" i="3"/>
  <c r="W604" i="3"/>
  <c r="W605" i="3"/>
  <c r="W606" i="3"/>
  <c r="W607" i="3"/>
  <c r="W608" i="3"/>
  <c r="W609" i="3"/>
  <c r="W610" i="3"/>
  <c r="W611" i="3"/>
  <c r="W612" i="3"/>
  <c r="W613" i="3"/>
  <c r="W614" i="3"/>
  <c r="W615" i="3"/>
  <c r="W616" i="3"/>
  <c r="W617" i="3"/>
  <c r="G2" i="2" l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V2" i="3" l="1"/>
  <c r="V3" i="3"/>
  <c r="V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38" i="3"/>
  <c r="V39" i="3"/>
  <c r="V40" i="3"/>
  <c r="V41" i="3"/>
  <c r="V42" i="3"/>
  <c r="V43" i="3"/>
  <c r="V44" i="3"/>
  <c r="V45" i="3"/>
  <c r="V46" i="3"/>
  <c r="V47" i="3"/>
  <c r="V48" i="3"/>
  <c r="V49" i="3"/>
  <c r="V50" i="3"/>
  <c r="V51" i="3"/>
  <c r="V52" i="3"/>
  <c r="V53" i="3"/>
  <c r="V54" i="3"/>
  <c r="V55" i="3"/>
  <c r="V56" i="3"/>
  <c r="V57" i="3"/>
  <c r="V58" i="3"/>
  <c r="V59" i="3"/>
  <c r="V60" i="3"/>
  <c r="V61" i="3"/>
  <c r="V62" i="3"/>
  <c r="V63" i="3"/>
  <c r="V64" i="3"/>
  <c r="V65" i="3"/>
  <c r="V66" i="3"/>
  <c r="V67" i="3"/>
  <c r="V68" i="3"/>
  <c r="V69" i="3"/>
  <c r="V70" i="3"/>
  <c r="V71" i="3"/>
  <c r="V72" i="3"/>
  <c r="V73" i="3"/>
  <c r="V74" i="3"/>
  <c r="V75" i="3"/>
  <c r="V76" i="3"/>
  <c r="V77" i="3"/>
  <c r="V78" i="3"/>
  <c r="V79" i="3"/>
  <c r="V80" i="3"/>
  <c r="V81" i="3"/>
  <c r="V82" i="3"/>
  <c r="V83" i="3"/>
  <c r="V84" i="3"/>
  <c r="V85" i="3"/>
  <c r="V86" i="3"/>
  <c r="V87" i="3"/>
  <c r="V88" i="3"/>
  <c r="V89" i="3"/>
  <c r="V90" i="3"/>
  <c r="V91" i="3"/>
  <c r="V92" i="3"/>
  <c r="V93" i="3"/>
  <c r="V94" i="3"/>
  <c r="V95" i="3"/>
  <c r="V96" i="3"/>
  <c r="V97" i="3"/>
  <c r="V98" i="3"/>
  <c r="V99" i="3"/>
  <c r="V100" i="3"/>
  <c r="V101" i="3"/>
  <c r="V102" i="3"/>
  <c r="V103" i="3"/>
  <c r="V104" i="3"/>
  <c r="V105" i="3"/>
  <c r="V106" i="3"/>
  <c r="V107" i="3"/>
  <c r="V108" i="3"/>
  <c r="V109" i="3"/>
  <c r="V110" i="3"/>
  <c r="V111" i="3"/>
  <c r="V112" i="3"/>
  <c r="V113" i="3"/>
  <c r="V114" i="3"/>
  <c r="V115" i="3"/>
  <c r="V116" i="3"/>
  <c r="V117" i="3"/>
  <c r="V118" i="3"/>
  <c r="V119" i="3"/>
  <c r="V120" i="3"/>
  <c r="V121" i="3"/>
  <c r="V122" i="3"/>
  <c r="V123" i="3"/>
  <c r="V124" i="3"/>
  <c r="V125" i="3"/>
  <c r="V126" i="3"/>
  <c r="V127" i="3"/>
  <c r="V128" i="3"/>
  <c r="V129" i="3"/>
  <c r="V130" i="3"/>
  <c r="V131" i="3"/>
  <c r="V132" i="3"/>
  <c r="V133" i="3"/>
  <c r="V134" i="3"/>
  <c r="V135" i="3"/>
  <c r="V136" i="3"/>
  <c r="V137" i="3"/>
  <c r="V138" i="3"/>
  <c r="V139" i="3"/>
  <c r="V140" i="3"/>
  <c r="V141" i="3"/>
  <c r="V142" i="3"/>
  <c r="V143" i="3"/>
  <c r="V144" i="3"/>
  <c r="V145" i="3"/>
  <c r="V146" i="3"/>
  <c r="V147" i="3"/>
  <c r="V148" i="3"/>
  <c r="V149" i="3"/>
  <c r="V150" i="3"/>
  <c r="V151" i="3"/>
  <c r="V152" i="3"/>
  <c r="V153" i="3"/>
  <c r="V154" i="3"/>
  <c r="V155" i="3"/>
  <c r="V156" i="3"/>
  <c r="V157" i="3"/>
  <c r="V158" i="3"/>
  <c r="V159" i="3"/>
  <c r="V160" i="3"/>
  <c r="V161" i="3"/>
  <c r="V162" i="3"/>
  <c r="V163" i="3"/>
  <c r="V164" i="3"/>
  <c r="V165" i="3"/>
  <c r="V166" i="3"/>
  <c r="V167" i="3"/>
  <c r="V168" i="3"/>
  <c r="V169" i="3"/>
  <c r="V170" i="3"/>
  <c r="V171" i="3"/>
  <c r="V172" i="3"/>
  <c r="V173" i="3"/>
  <c r="V174" i="3"/>
  <c r="V175" i="3"/>
  <c r="V176" i="3"/>
  <c r="V177" i="3"/>
  <c r="V178" i="3"/>
  <c r="V179" i="3"/>
  <c r="V180" i="3"/>
  <c r="V181" i="3"/>
  <c r="V182" i="3"/>
  <c r="V183" i="3"/>
  <c r="V184" i="3"/>
  <c r="V185" i="3"/>
  <c r="V186" i="3"/>
  <c r="V187" i="3"/>
  <c r="V188" i="3"/>
  <c r="V189" i="3"/>
  <c r="V190" i="3"/>
  <c r="V191" i="3"/>
  <c r="V192" i="3"/>
  <c r="V193" i="3"/>
  <c r="V194" i="3"/>
  <c r="V195" i="3"/>
  <c r="V196" i="3"/>
  <c r="V197" i="3"/>
  <c r="V198" i="3"/>
  <c r="V199" i="3"/>
  <c r="V200" i="3"/>
  <c r="V201" i="3"/>
  <c r="V202" i="3"/>
  <c r="V203" i="3"/>
  <c r="V204" i="3"/>
  <c r="V205" i="3"/>
  <c r="V206" i="3"/>
  <c r="V207" i="3"/>
  <c r="V208" i="3"/>
  <c r="V209" i="3"/>
  <c r="V210" i="3"/>
  <c r="V211" i="3"/>
  <c r="V212" i="3"/>
  <c r="V213" i="3"/>
  <c r="V214" i="3"/>
  <c r="V215" i="3"/>
  <c r="V216" i="3"/>
  <c r="V217" i="3"/>
  <c r="V218" i="3"/>
  <c r="V219" i="3"/>
  <c r="V220" i="3"/>
  <c r="V221" i="3"/>
  <c r="V222" i="3"/>
  <c r="V223" i="3"/>
  <c r="V224" i="3"/>
  <c r="V225" i="3"/>
  <c r="V226" i="3"/>
  <c r="V227" i="3"/>
  <c r="V228" i="3"/>
  <c r="V229" i="3"/>
  <c r="V230" i="3"/>
  <c r="V231" i="3"/>
  <c r="V232" i="3"/>
  <c r="V233" i="3"/>
  <c r="V234" i="3"/>
  <c r="V235" i="3"/>
  <c r="V236" i="3"/>
  <c r="V237" i="3"/>
  <c r="V238" i="3"/>
  <c r="V239" i="3"/>
  <c r="V240" i="3"/>
  <c r="V241" i="3"/>
  <c r="V242" i="3"/>
  <c r="V243" i="3"/>
  <c r="V244" i="3"/>
  <c r="V245" i="3"/>
  <c r="V246" i="3"/>
  <c r="V247" i="3"/>
  <c r="V248" i="3"/>
  <c r="V249" i="3"/>
  <c r="V250" i="3"/>
  <c r="V251" i="3"/>
  <c r="V252" i="3"/>
  <c r="V253" i="3"/>
  <c r="V254" i="3"/>
  <c r="V255" i="3"/>
  <c r="V256" i="3"/>
  <c r="V257" i="3"/>
  <c r="V258" i="3"/>
  <c r="V259" i="3"/>
  <c r="V260" i="3"/>
  <c r="V261" i="3"/>
  <c r="V262" i="3"/>
  <c r="V263" i="3"/>
  <c r="V264" i="3"/>
  <c r="V265" i="3"/>
  <c r="V266" i="3"/>
  <c r="V267" i="3"/>
  <c r="V268" i="3"/>
  <c r="V269" i="3"/>
  <c r="V270" i="3"/>
  <c r="V271" i="3"/>
  <c r="V272" i="3"/>
  <c r="V273" i="3"/>
  <c r="V274" i="3"/>
  <c r="V275" i="3"/>
  <c r="V276" i="3"/>
  <c r="V277" i="3"/>
  <c r="V278" i="3"/>
  <c r="V279" i="3"/>
  <c r="V280" i="3"/>
  <c r="V281" i="3"/>
  <c r="V282" i="3"/>
  <c r="V283" i="3"/>
  <c r="V284" i="3"/>
  <c r="V285" i="3"/>
  <c r="V286" i="3"/>
  <c r="V287" i="3"/>
  <c r="V288" i="3"/>
  <c r="V289" i="3"/>
  <c r="V290" i="3"/>
  <c r="V291" i="3"/>
  <c r="V292" i="3"/>
  <c r="V293" i="3"/>
  <c r="V294" i="3"/>
  <c r="V295" i="3"/>
  <c r="V296" i="3"/>
  <c r="V297" i="3"/>
  <c r="V298" i="3"/>
  <c r="V299" i="3"/>
  <c r="V300" i="3"/>
  <c r="V301" i="3"/>
  <c r="V302" i="3"/>
  <c r="V303" i="3"/>
  <c r="V304" i="3"/>
  <c r="V305" i="3"/>
  <c r="V306" i="3"/>
  <c r="V307" i="3"/>
  <c r="V308" i="3"/>
  <c r="V309" i="3"/>
  <c r="V310" i="3"/>
  <c r="V311" i="3"/>
  <c r="V312" i="3"/>
  <c r="V313" i="3"/>
  <c r="V314" i="3"/>
  <c r="V315" i="3"/>
  <c r="V316" i="3"/>
  <c r="V317" i="3"/>
  <c r="V318" i="3"/>
  <c r="V319" i="3"/>
  <c r="V320" i="3"/>
  <c r="V321" i="3"/>
  <c r="V322" i="3"/>
  <c r="V323" i="3"/>
  <c r="V324" i="3"/>
  <c r="V325" i="3"/>
  <c r="V326" i="3"/>
  <c r="V327" i="3"/>
  <c r="V328" i="3"/>
  <c r="V329" i="3"/>
  <c r="V330" i="3"/>
  <c r="V331" i="3"/>
  <c r="V332" i="3"/>
  <c r="V333" i="3"/>
  <c r="V334" i="3"/>
  <c r="V335" i="3"/>
  <c r="V336" i="3"/>
  <c r="V337" i="3"/>
  <c r="V338" i="3"/>
  <c r="V339" i="3"/>
  <c r="V340" i="3"/>
  <c r="V341" i="3"/>
  <c r="V342" i="3"/>
  <c r="V343" i="3"/>
  <c r="V344" i="3"/>
  <c r="V345" i="3"/>
  <c r="V346" i="3"/>
  <c r="V347" i="3"/>
  <c r="V348" i="3"/>
  <c r="V349" i="3"/>
  <c r="V350" i="3"/>
  <c r="V351" i="3"/>
  <c r="V352" i="3"/>
  <c r="V353" i="3"/>
  <c r="V354" i="3"/>
  <c r="V355" i="3"/>
  <c r="V356" i="3"/>
  <c r="V357" i="3"/>
  <c r="V358" i="3"/>
  <c r="V359" i="3"/>
  <c r="V360" i="3"/>
  <c r="V361" i="3"/>
  <c r="V362" i="3"/>
  <c r="V363" i="3"/>
  <c r="V364" i="3"/>
  <c r="V365" i="3"/>
  <c r="V366" i="3"/>
  <c r="V367" i="3"/>
  <c r="V368" i="3"/>
  <c r="V369" i="3"/>
  <c r="V370" i="3"/>
  <c r="V371" i="3"/>
  <c r="V372" i="3"/>
  <c r="V373" i="3"/>
  <c r="V374" i="3"/>
  <c r="V375" i="3"/>
  <c r="V376" i="3"/>
  <c r="V377" i="3"/>
  <c r="V378" i="3"/>
  <c r="V379" i="3"/>
  <c r="V380" i="3"/>
  <c r="V381" i="3"/>
  <c r="V382" i="3"/>
  <c r="V383" i="3"/>
  <c r="V384" i="3"/>
  <c r="V385" i="3"/>
  <c r="V386" i="3"/>
  <c r="V387" i="3"/>
  <c r="V388" i="3"/>
  <c r="V389" i="3"/>
  <c r="V390" i="3"/>
  <c r="V391" i="3"/>
  <c r="V392" i="3"/>
  <c r="V393" i="3"/>
  <c r="V394" i="3"/>
  <c r="V395" i="3"/>
  <c r="V396" i="3"/>
  <c r="V397" i="3"/>
  <c r="V398" i="3"/>
  <c r="V399" i="3"/>
  <c r="V400" i="3"/>
  <c r="V401" i="3"/>
  <c r="V402" i="3"/>
  <c r="V403" i="3"/>
  <c r="V404" i="3"/>
  <c r="V405" i="3"/>
  <c r="V406" i="3"/>
  <c r="V407" i="3"/>
  <c r="V408" i="3"/>
  <c r="V409" i="3"/>
  <c r="V410" i="3"/>
  <c r="V411" i="3"/>
  <c r="V412" i="3"/>
  <c r="V413" i="3"/>
  <c r="V414" i="3"/>
  <c r="V415" i="3"/>
  <c r="V416" i="3"/>
  <c r="V417" i="3"/>
  <c r="V418" i="3"/>
  <c r="V419" i="3"/>
  <c r="V420" i="3"/>
  <c r="V421" i="3"/>
  <c r="V422" i="3"/>
  <c r="V423" i="3"/>
  <c r="V424" i="3"/>
  <c r="V425" i="3"/>
  <c r="V426" i="3"/>
  <c r="V427" i="3"/>
  <c r="V428" i="3"/>
  <c r="V429" i="3"/>
  <c r="V430" i="3"/>
  <c r="V431" i="3"/>
  <c r="V432" i="3"/>
  <c r="V433" i="3"/>
  <c r="V434" i="3"/>
  <c r="V435" i="3"/>
  <c r="V436" i="3"/>
  <c r="V437" i="3"/>
  <c r="V438" i="3"/>
  <c r="V439" i="3"/>
  <c r="V440" i="3"/>
  <c r="V441" i="3"/>
  <c r="V442" i="3"/>
  <c r="V443" i="3"/>
  <c r="V444" i="3"/>
  <c r="V445" i="3"/>
  <c r="V446" i="3"/>
  <c r="V447" i="3"/>
  <c r="V448" i="3"/>
  <c r="V449" i="3"/>
  <c r="V450" i="3"/>
  <c r="V451" i="3"/>
  <c r="V452" i="3"/>
  <c r="V453" i="3"/>
  <c r="V454" i="3"/>
  <c r="V455" i="3"/>
  <c r="V456" i="3"/>
  <c r="V457" i="3"/>
  <c r="V458" i="3"/>
  <c r="V459" i="3"/>
  <c r="V460" i="3"/>
  <c r="V461" i="3"/>
  <c r="V462" i="3"/>
  <c r="V463" i="3"/>
  <c r="V464" i="3"/>
  <c r="V465" i="3"/>
  <c r="V466" i="3"/>
  <c r="V467" i="3"/>
  <c r="V468" i="3"/>
  <c r="V469" i="3"/>
  <c r="V470" i="3"/>
  <c r="V471" i="3"/>
  <c r="V472" i="3"/>
  <c r="V473" i="3"/>
  <c r="V474" i="3"/>
  <c r="V475" i="3"/>
  <c r="V476" i="3"/>
  <c r="V477" i="3"/>
  <c r="V478" i="3"/>
  <c r="V479" i="3"/>
  <c r="V480" i="3"/>
  <c r="V481" i="3"/>
  <c r="V482" i="3"/>
  <c r="V483" i="3"/>
  <c r="V484" i="3"/>
  <c r="V485" i="3"/>
  <c r="V486" i="3"/>
  <c r="V487" i="3"/>
  <c r="V488" i="3"/>
  <c r="V489" i="3"/>
  <c r="V490" i="3"/>
  <c r="V491" i="3"/>
  <c r="V492" i="3"/>
  <c r="V493" i="3"/>
  <c r="V494" i="3"/>
  <c r="V495" i="3"/>
  <c r="V496" i="3"/>
  <c r="V497" i="3"/>
  <c r="V498" i="3"/>
  <c r="V499" i="3"/>
  <c r="V500" i="3"/>
  <c r="V501" i="3"/>
  <c r="V502" i="3"/>
  <c r="V503" i="3"/>
  <c r="V504" i="3"/>
  <c r="V505" i="3"/>
  <c r="V506" i="3"/>
  <c r="V507" i="3"/>
  <c r="V508" i="3"/>
  <c r="V509" i="3"/>
  <c r="V510" i="3"/>
  <c r="V511" i="3"/>
  <c r="V512" i="3"/>
  <c r="V513" i="3"/>
  <c r="V514" i="3"/>
  <c r="V515" i="3"/>
  <c r="V516" i="3"/>
  <c r="V517" i="3"/>
  <c r="V518" i="3"/>
  <c r="V519" i="3"/>
  <c r="V520" i="3"/>
  <c r="V521" i="3"/>
  <c r="V522" i="3"/>
  <c r="V523" i="3"/>
  <c r="V524" i="3"/>
  <c r="V525" i="3"/>
  <c r="V526" i="3"/>
  <c r="V527" i="3"/>
  <c r="V528" i="3"/>
  <c r="V529" i="3"/>
  <c r="V530" i="3"/>
  <c r="V531" i="3"/>
  <c r="V532" i="3"/>
  <c r="V533" i="3"/>
  <c r="V534" i="3"/>
  <c r="V535" i="3"/>
  <c r="V536" i="3"/>
  <c r="V537" i="3"/>
  <c r="V538" i="3"/>
  <c r="V539" i="3"/>
  <c r="V540" i="3"/>
  <c r="V541" i="3"/>
  <c r="V542" i="3"/>
  <c r="V543" i="3"/>
  <c r="V544" i="3"/>
  <c r="V545" i="3"/>
  <c r="V546" i="3"/>
  <c r="V547" i="3"/>
  <c r="V548" i="3"/>
  <c r="V549" i="3"/>
  <c r="V550" i="3"/>
  <c r="V551" i="3"/>
  <c r="V552" i="3"/>
  <c r="V553" i="3"/>
  <c r="V554" i="3"/>
  <c r="V555" i="3"/>
  <c r="V556" i="3"/>
  <c r="V557" i="3"/>
  <c r="V558" i="3"/>
  <c r="V559" i="3"/>
  <c r="V560" i="3"/>
  <c r="V561" i="3"/>
  <c r="V562" i="3"/>
  <c r="V563" i="3"/>
  <c r="V564" i="3"/>
  <c r="V565" i="3"/>
  <c r="V566" i="3"/>
  <c r="V567" i="3"/>
  <c r="V568" i="3"/>
  <c r="V569" i="3"/>
  <c r="V570" i="3"/>
  <c r="V571" i="3"/>
  <c r="V572" i="3"/>
  <c r="V573" i="3"/>
  <c r="V574" i="3"/>
  <c r="V575" i="3"/>
  <c r="V576" i="3"/>
  <c r="V577" i="3"/>
  <c r="V578" i="3"/>
  <c r="V579" i="3"/>
  <c r="V580" i="3"/>
  <c r="V581" i="3"/>
  <c r="V582" i="3"/>
  <c r="V583" i="3"/>
  <c r="V584" i="3"/>
  <c r="V585" i="3"/>
  <c r="V586" i="3"/>
  <c r="V587" i="3"/>
  <c r="V588" i="3"/>
  <c r="V589" i="3"/>
  <c r="V590" i="3"/>
  <c r="V591" i="3"/>
  <c r="V592" i="3"/>
  <c r="V593" i="3"/>
  <c r="V594" i="3"/>
  <c r="V595" i="3"/>
  <c r="V596" i="3"/>
  <c r="V597" i="3"/>
  <c r="V598" i="3"/>
  <c r="V599" i="3"/>
  <c r="V600" i="3"/>
  <c r="V601" i="3"/>
  <c r="V602" i="3"/>
  <c r="V603" i="3"/>
  <c r="V604" i="3"/>
  <c r="V605" i="3"/>
  <c r="V606" i="3"/>
  <c r="V607" i="3"/>
  <c r="V608" i="3"/>
  <c r="V609" i="3"/>
  <c r="V610" i="3"/>
  <c r="V611" i="3"/>
  <c r="V612" i="3"/>
  <c r="V613" i="3"/>
  <c r="V614" i="3"/>
  <c r="V615" i="3"/>
  <c r="V616" i="3"/>
  <c r="V617" i="3"/>
  <c r="A614" i="3"/>
  <c r="B614" i="3"/>
  <c r="C614" i="3"/>
  <c r="D614" i="3"/>
  <c r="E614" i="3" s="1"/>
  <c r="G614" i="3"/>
  <c r="H614" i="3" s="1"/>
  <c r="J614" i="3"/>
  <c r="K614" i="3"/>
  <c r="J615" i="3"/>
  <c r="K615" i="3"/>
  <c r="J616" i="3"/>
  <c r="K616" i="3"/>
  <c r="J617" i="3"/>
  <c r="K617" i="3"/>
  <c r="A2" i="3"/>
  <c r="B2" i="3"/>
  <c r="C2" i="3"/>
  <c r="D2" i="3"/>
  <c r="E2" i="3" s="1"/>
  <c r="G2" i="3"/>
  <c r="H2" i="3" s="1"/>
  <c r="J2" i="3"/>
  <c r="K2" i="3"/>
  <c r="J3" i="3"/>
  <c r="K3" i="3"/>
  <c r="J4" i="3"/>
  <c r="K4" i="3"/>
  <c r="J5" i="3"/>
  <c r="K5" i="3"/>
  <c r="A6" i="3"/>
  <c r="B6" i="3"/>
  <c r="C6" i="3"/>
  <c r="D6" i="3"/>
  <c r="E6" i="3" s="1"/>
  <c r="G6" i="3"/>
  <c r="H6" i="3" s="1"/>
  <c r="J6" i="3"/>
  <c r="K6" i="3"/>
  <c r="J7" i="3"/>
  <c r="K7" i="3"/>
  <c r="J8" i="3"/>
  <c r="K8" i="3"/>
  <c r="J9" i="3"/>
  <c r="K9" i="3"/>
  <c r="A10" i="3"/>
  <c r="B10" i="3"/>
  <c r="C10" i="3"/>
  <c r="D10" i="3"/>
  <c r="E10" i="3" s="1"/>
  <c r="G10" i="3"/>
  <c r="H10" i="3" s="1"/>
  <c r="J10" i="3"/>
  <c r="K10" i="3"/>
  <c r="J11" i="3"/>
  <c r="K11" i="3"/>
  <c r="J12" i="3"/>
  <c r="K12" i="3"/>
  <c r="J13" i="3"/>
  <c r="K13" i="3"/>
  <c r="A14" i="3"/>
  <c r="B14" i="3"/>
  <c r="C14" i="3"/>
  <c r="D14" i="3"/>
  <c r="E14" i="3" s="1"/>
  <c r="G14" i="3"/>
  <c r="H14" i="3" s="1"/>
  <c r="J14" i="3"/>
  <c r="K14" i="3"/>
  <c r="J15" i="3"/>
  <c r="K15" i="3"/>
  <c r="J16" i="3"/>
  <c r="K16" i="3"/>
  <c r="J17" i="3"/>
  <c r="K17" i="3"/>
  <c r="A18" i="3"/>
  <c r="B18" i="3"/>
  <c r="C18" i="3"/>
  <c r="D18" i="3"/>
  <c r="E18" i="3" s="1"/>
  <c r="G18" i="3"/>
  <c r="H18" i="3" s="1"/>
  <c r="J18" i="3"/>
  <c r="K18" i="3"/>
  <c r="J19" i="3"/>
  <c r="K19" i="3"/>
  <c r="J20" i="3"/>
  <c r="K20" i="3"/>
  <c r="J21" i="3"/>
  <c r="K21" i="3"/>
  <c r="A22" i="3"/>
  <c r="B22" i="3"/>
  <c r="C22" i="3"/>
  <c r="D22" i="3"/>
  <c r="E22" i="3" s="1"/>
  <c r="G22" i="3"/>
  <c r="H22" i="3" s="1"/>
  <c r="J22" i="3"/>
  <c r="K22" i="3"/>
  <c r="J23" i="3"/>
  <c r="K23" i="3"/>
  <c r="J24" i="3"/>
  <c r="K24" i="3"/>
  <c r="J25" i="3"/>
  <c r="K25" i="3"/>
  <c r="A26" i="3"/>
  <c r="B26" i="3"/>
  <c r="C26" i="3"/>
  <c r="D26" i="3"/>
  <c r="E26" i="3" s="1"/>
  <c r="G26" i="3"/>
  <c r="H26" i="3" s="1"/>
  <c r="J26" i="3"/>
  <c r="K26" i="3"/>
  <c r="J27" i="3"/>
  <c r="K27" i="3"/>
  <c r="J28" i="3"/>
  <c r="K28" i="3"/>
  <c r="J29" i="3"/>
  <c r="K29" i="3"/>
  <c r="A30" i="3"/>
  <c r="B30" i="3"/>
  <c r="C30" i="3"/>
  <c r="D30" i="3"/>
  <c r="E30" i="3" s="1"/>
  <c r="G30" i="3"/>
  <c r="H30" i="3" s="1"/>
  <c r="J30" i="3"/>
  <c r="K30" i="3"/>
  <c r="J31" i="3"/>
  <c r="K31" i="3"/>
  <c r="J32" i="3"/>
  <c r="K32" i="3"/>
  <c r="J33" i="3"/>
  <c r="K33" i="3"/>
  <c r="A34" i="3"/>
  <c r="B34" i="3"/>
  <c r="C34" i="3"/>
  <c r="D34" i="3"/>
  <c r="E34" i="3" s="1"/>
  <c r="G34" i="3"/>
  <c r="H34" i="3" s="1"/>
  <c r="J34" i="3"/>
  <c r="K34" i="3"/>
  <c r="J35" i="3"/>
  <c r="K35" i="3"/>
  <c r="J36" i="3"/>
  <c r="K36" i="3"/>
  <c r="J37" i="3"/>
  <c r="K37" i="3"/>
  <c r="A38" i="3"/>
  <c r="B38" i="3"/>
  <c r="C38" i="3"/>
  <c r="D38" i="3"/>
  <c r="E38" i="3" s="1"/>
  <c r="G38" i="3"/>
  <c r="H38" i="3" s="1"/>
  <c r="J38" i="3"/>
  <c r="K38" i="3"/>
  <c r="J39" i="3"/>
  <c r="K39" i="3"/>
  <c r="J40" i="3"/>
  <c r="K40" i="3"/>
  <c r="J41" i="3"/>
  <c r="K41" i="3"/>
  <c r="A42" i="3"/>
  <c r="B42" i="3"/>
  <c r="C42" i="3"/>
  <c r="D42" i="3"/>
  <c r="E42" i="3" s="1"/>
  <c r="G42" i="3"/>
  <c r="H42" i="3" s="1"/>
  <c r="J42" i="3"/>
  <c r="K42" i="3"/>
  <c r="J43" i="3"/>
  <c r="K43" i="3"/>
  <c r="J44" i="3"/>
  <c r="K44" i="3"/>
  <c r="J45" i="3"/>
  <c r="K45" i="3"/>
  <c r="A46" i="3"/>
  <c r="B46" i="3"/>
  <c r="C46" i="3"/>
  <c r="D46" i="3"/>
  <c r="E46" i="3" s="1"/>
  <c r="G46" i="3"/>
  <c r="H46" i="3" s="1"/>
  <c r="J46" i="3"/>
  <c r="K46" i="3"/>
  <c r="J47" i="3"/>
  <c r="K47" i="3"/>
  <c r="J48" i="3"/>
  <c r="K48" i="3"/>
  <c r="J49" i="3"/>
  <c r="K49" i="3"/>
  <c r="A50" i="3"/>
  <c r="B50" i="3"/>
  <c r="C50" i="3"/>
  <c r="D50" i="3"/>
  <c r="E50" i="3" s="1"/>
  <c r="G50" i="3"/>
  <c r="H50" i="3" s="1"/>
  <c r="J50" i="3"/>
  <c r="K50" i="3"/>
  <c r="J51" i="3"/>
  <c r="K51" i="3"/>
  <c r="J52" i="3"/>
  <c r="K52" i="3"/>
  <c r="J53" i="3"/>
  <c r="K53" i="3"/>
  <c r="A54" i="3"/>
  <c r="B54" i="3"/>
  <c r="C54" i="3"/>
  <c r="D54" i="3"/>
  <c r="E54" i="3" s="1"/>
  <c r="G54" i="3"/>
  <c r="H54" i="3" s="1"/>
  <c r="J54" i="3"/>
  <c r="K54" i="3"/>
  <c r="J55" i="3"/>
  <c r="K55" i="3"/>
  <c r="J56" i="3"/>
  <c r="K56" i="3"/>
  <c r="J57" i="3"/>
  <c r="K57" i="3"/>
  <c r="A58" i="3"/>
  <c r="B58" i="3"/>
  <c r="C58" i="3"/>
  <c r="D58" i="3"/>
  <c r="E58" i="3" s="1"/>
  <c r="G58" i="3"/>
  <c r="H58" i="3" s="1"/>
  <c r="J58" i="3"/>
  <c r="K58" i="3"/>
  <c r="J59" i="3"/>
  <c r="K59" i="3"/>
  <c r="J60" i="3"/>
  <c r="K60" i="3"/>
  <c r="J61" i="3"/>
  <c r="K61" i="3"/>
  <c r="A62" i="3"/>
  <c r="B62" i="3"/>
  <c r="C62" i="3"/>
  <c r="D62" i="3"/>
  <c r="E62" i="3" s="1"/>
  <c r="G62" i="3"/>
  <c r="H62" i="3" s="1"/>
  <c r="J62" i="3"/>
  <c r="K62" i="3"/>
  <c r="J63" i="3"/>
  <c r="K63" i="3"/>
  <c r="J64" i="3"/>
  <c r="K64" i="3"/>
  <c r="J65" i="3"/>
  <c r="K65" i="3"/>
  <c r="A66" i="3"/>
  <c r="B66" i="3"/>
  <c r="C66" i="3"/>
  <c r="D66" i="3"/>
  <c r="E66" i="3" s="1"/>
  <c r="G66" i="3"/>
  <c r="H66" i="3" s="1"/>
  <c r="J66" i="3"/>
  <c r="K66" i="3"/>
  <c r="J67" i="3"/>
  <c r="K67" i="3"/>
  <c r="J68" i="3"/>
  <c r="K68" i="3"/>
  <c r="J69" i="3"/>
  <c r="K69" i="3"/>
  <c r="A70" i="3"/>
  <c r="B70" i="3"/>
  <c r="C70" i="3"/>
  <c r="D70" i="3"/>
  <c r="E70" i="3" s="1"/>
  <c r="G70" i="3"/>
  <c r="H70" i="3" s="1"/>
  <c r="J70" i="3"/>
  <c r="K70" i="3"/>
  <c r="J71" i="3"/>
  <c r="K71" i="3"/>
  <c r="J72" i="3"/>
  <c r="K72" i="3"/>
  <c r="J73" i="3"/>
  <c r="K73" i="3"/>
  <c r="A74" i="3"/>
  <c r="B74" i="3"/>
  <c r="C74" i="3"/>
  <c r="D74" i="3"/>
  <c r="E74" i="3" s="1"/>
  <c r="G74" i="3"/>
  <c r="H74" i="3" s="1"/>
  <c r="J74" i="3"/>
  <c r="K74" i="3"/>
  <c r="J75" i="3"/>
  <c r="K75" i="3"/>
  <c r="J76" i="3"/>
  <c r="K76" i="3"/>
  <c r="J77" i="3"/>
  <c r="K77" i="3"/>
  <c r="A78" i="3"/>
  <c r="B78" i="3"/>
  <c r="C78" i="3"/>
  <c r="D78" i="3"/>
  <c r="E78" i="3" s="1"/>
  <c r="G78" i="3"/>
  <c r="H78" i="3" s="1"/>
  <c r="J78" i="3"/>
  <c r="K78" i="3"/>
  <c r="J79" i="3"/>
  <c r="K79" i="3"/>
  <c r="J80" i="3"/>
  <c r="K80" i="3"/>
  <c r="J81" i="3"/>
  <c r="K81" i="3"/>
  <c r="A82" i="3"/>
  <c r="B82" i="3"/>
  <c r="C82" i="3"/>
  <c r="D82" i="3"/>
  <c r="E82" i="3" s="1"/>
  <c r="G82" i="3"/>
  <c r="H82" i="3" s="1"/>
  <c r="J82" i="3"/>
  <c r="K82" i="3"/>
  <c r="J83" i="3"/>
  <c r="K83" i="3"/>
  <c r="J84" i="3"/>
  <c r="K84" i="3"/>
  <c r="J85" i="3"/>
  <c r="K85" i="3"/>
  <c r="A86" i="3"/>
  <c r="B86" i="3"/>
  <c r="C86" i="3"/>
  <c r="D86" i="3"/>
  <c r="E86" i="3" s="1"/>
  <c r="G86" i="3"/>
  <c r="H86" i="3" s="1"/>
  <c r="J86" i="3"/>
  <c r="K86" i="3"/>
  <c r="J87" i="3"/>
  <c r="K87" i="3"/>
  <c r="J88" i="3"/>
  <c r="K88" i="3"/>
  <c r="J89" i="3"/>
  <c r="K89" i="3"/>
  <c r="A90" i="3"/>
  <c r="B90" i="3"/>
  <c r="C90" i="3"/>
  <c r="D90" i="3"/>
  <c r="E90" i="3" s="1"/>
  <c r="G90" i="3"/>
  <c r="H90" i="3" s="1"/>
  <c r="J90" i="3"/>
  <c r="K90" i="3"/>
  <c r="J91" i="3"/>
  <c r="K91" i="3"/>
  <c r="J92" i="3"/>
  <c r="K92" i="3"/>
  <c r="J93" i="3"/>
  <c r="K93" i="3"/>
  <c r="A94" i="3"/>
  <c r="B94" i="3"/>
  <c r="C94" i="3"/>
  <c r="D94" i="3"/>
  <c r="E94" i="3" s="1"/>
  <c r="G94" i="3"/>
  <c r="H94" i="3" s="1"/>
  <c r="J94" i="3"/>
  <c r="K94" i="3"/>
  <c r="J95" i="3"/>
  <c r="K95" i="3"/>
  <c r="J96" i="3"/>
  <c r="K96" i="3"/>
  <c r="J97" i="3"/>
  <c r="K97" i="3"/>
  <c r="A98" i="3"/>
  <c r="B98" i="3"/>
  <c r="C98" i="3"/>
  <c r="D98" i="3"/>
  <c r="E98" i="3" s="1"/>
  <c r="G98" i="3"/>
  <c r="H98" i="3" s="1"/>
  <c r="J98" i="3"/>
  <c r="K98" i="3"/>
  <c r="J99" i="3"/>
  <c r="K99" i="3"/>
  <c r="J100" i="3"/>
  <c r="K100" i="3"/>
  <c r="J101" i="3"/>
  <c r="K101" i="3"/>
  <c r="A102" i="3"/>
  <c r="B102" i="3"/>
  <c r="C102" i="3"/>
  <c r="D102" i="3"/>
  <c r="E102" i="3" s="1"/>
  <c r="G102" i="3"/>
  <c r="H102" i="3" s="1"/>
  <c r="J102" i="3"/>
  <c r="K102" i="3"/>
  <c r="J103" i="3"/>
  <c r="K103" i="3"/>
  <c r="J104" i="3"/>
  <c r="K104" i="3"/>
  <c r="J105" i="3"/>
  <c r="K105" i="3"/>
  <c r="A106" i="3"/>
  <c r="B106" i="3"/>
  <c r="C106" i="3"/>
  <c r="D106" i="3"/>
  <c r="E106" i="3" s="1"/>
  <c r="G106" i="3"/>
  <c r="H106" i="3" s="1"/>
  <c r="J106" i="3"/>
  <c r="K106" i="3"/>
  <c r="J107" i="3"/>
  <c r="K107" i="3"/>
  <c r="J108" i="3"/>
  <c r="K108" i="3"/>
  <c r="J109" i="3"/>
  <c r="K109" i="3"/>
  <c r="A110" i="3"/>
  <c r="B110" i="3"/>
  <c r="C110" i="3"/>
  <c r="D110" i="3"/>
  <c r="E110" i="3" s="1"/>
  <c r="G110" i="3"/>
  <c r="H110" i="3" s="1"/>
  <c r="J110" i="3"/>
  <c r="K110" i="3"/>
  <c r="J111" i="3"/>
  <c r="K111" i="3"/>
  <c r="J112" i="3"/>
  <c r="K112" i="3"/>
  <c r="J113" i="3"/>
  <c r="K113" i="3"/>
  <c r="A114" i="3"/>
  <c r="B114" i="3"/>
  <c r="C114" i="3"/>
  <c r="D114" i="3"/>
  <c r="E114" i="3" s="1"/>
  <c r="G114" i="3"/>
  <c r="H114" i="3" s="1"/>
  <c r="J114" i="3"/>
  <c r="K114" i="3"/>
  <c r="J115" i="3"/>
  <c r="K115" i="3"/>
  <c r="J116" i="3"/>
  <c r="K116" i="3"/>
  <c r="J117" i="3"/>
  <c r="K117" i="3"/>
  <c r="A118" i="3"/>
  <c r="B118" i="3"/>
  <c r="C118" i="3"/>
  <c r="D118" i="3"/>
  <c r="E118" i="3" s="1"/>
  <c r="G118" i="3"/>
  <c r="H118" i="3" s="1"/>
  <c r="J118" i="3"/>
  <c r="K118" i="3"/>
  <c r="J119" i="3"/>
  <c r="K119" i="3"/>
  <c r="J120" i="3"/>
  <c r="K120" i="3"/>
  <c r="J121" i="3"/>
  <c r="K121" i="3"/>
  <c r="A122" i="3"/>
  <c r="B122" i="3"/>
  <c r="C122" i="3"/>
  <c r="D122" i="3"/>
  <c r="E122" i="3" s="1"/>
  <c r="G122" i="3"/>
  <c r="H122" i="3" s="1"/>
  <c r="J122" i="3"/>
  <c r="K122" i="3"/>
  <c r="J123" i="3"/>
  <c r="K123" i="3"/>
  <c r="J124" i="3"/>
  <c r="K124" i="3"/>
  <c r="J125" i="3"/>
  <c r="K125" i="3"/>
  <c r="A126" i="3"/>
  <c r="B126" i="3"/>
  <c r="C126" i="3"/>
  <c r="D126" i="3"/>
  <c r="E126" i="3" s="1"/>
  <c r="G126" i="3"/>
  <c r="H126" i="3" s="1"/>
  <c r="J126" i="3"/>
  <c r="K126" i="3"/>
  <c r="J127" i="3"/>
  <c r="K127" i="3"/>
  <c r="J128" i="3"/>
  <c r="K128" i="3"/>
  <c r="J129" i="3"/>
  <c r="K129" i="3"/>
  <c r="A130" i="3"/>
  <c r="B130" i="3"/>
  <c r="C130" i="3"/>
  <c r="D130" i="3"/>
  <c r="E130" i="3" s="1"/>
  <c r="G130" i="3"/>
  <c r="H130" i="3" s="1"/>
  <c r="J130" i="3"/>
  <c r="K130" i="3"/>
  <c r="J131" i="3"/>
  <c r="K131" i="3"/>
  <c r="J132" i="3"/>
  <c r="K132" i="3"/>
  <c r="J133" i="3"/>
  <c r="K133" i="3"/>
  <c r="A134" i="3"/>
  <c r="B134" i="3"/>
  <c r="C134" i="3"/>
  <c r="D134" i="3"/>
  <c r="E134" i="3" s="1"/>
  <c r="G134" i="3"/>
  <c r="H134" i="3" s="1"/>
  <c r="J134" i="3"/>
  <c r="K134" i="3"/>
  <c r="J135" i="3"/>
  <c r="K135" i="3"/>
  <c r="J136" i="3"/>
  <c r="K136" i="3"/>
  <c r="J137" i="3"/>
  <c r="K137" i="3"/>
  <c r="A138" i="3"/>
  <c r="B138" i="3"/>
  <c r="C138" i="3"/>
  <c r="D138" i="3"/>
  <c r="E138" i="3" s="1"/>
  <c r="G138" i="3"/>
  <c r="H138" i="3" s="1"/>
  <c r="J138" i="3"/>
  <c r="K138" i="3"/>
  <c r="J139" i="3"/>
  <c r="K139" i="3"/>
  <c r="J140" i="3"/>
  <c r="K140" i="3"/>
  <c r="J141" i="3"/>
  <c r="K141" i="3"/>
  <c r="A142" i="3"/>
  <c r="B142" i="3"/>
  <c r="C142" i="3"/>
  <c r="D142" i="3"/>
  <c r="E142" i="3" s="1"/>
  <c r="G142" i="3"/>
  <c r="H142" i="3" s="1"/>
  <c r="J142" i="3"/>
  <c r="K142" i="3"/>
  <c r="J143" i="3"/>
  <c r="K143" i="3"/>
  <c r="J144" i="3"/>
  <c r="K144" i="3"/>
  <c r="J145" i="3"/>
  <c r="K145" i="3"/>
  <c r="A146" i="3"/>
  <c r="B146" i="3"/>
  <c r="C146" i="3"/>
  <c r="D146" i="3"/>
  <c r="E146" i="3" s="1"/>
  <c r="G146" i="3"/>
  <c r="H146" i="3" s="1"/>
  <c r="J146" i="3"/>
  <c r="K146" i="3"/>
  <c r="J147" i="3"/>
  <c r="K147" i="3"/>
  <c r="J148" i="3"/>
  <c r="K148" i="3"/>
  <c r="J149" i="3"/>
  <c r="K149" i="3"/>
  <c r="A150" i="3"/>
  <c r="B150" i="3"/>
  <c r="C150" i="3"/>
  <c r="D150" i="3"/>
  <c r="E150" i="3" s="1"/>
  <c r="G150" i="3"/>
  <c r="H150" i="3" s="1"/>
  <c r="J150" i="3"/>
  <c r="K150" i="3"/>
  <c r="J151" i="3"/>
  <c r="K151" i="3"/>
  <c r="J152" i="3"/>
  <c r="K152" i="3"/>
  <c r="J153" i="3"/>
  <c r="K153" i="3"/>
  <c r="A154" i="3"/>
  <c r="B154" i="3"/>
  <c r="C154" i="3"/>
  <c r="D154" i="3"/>
  <c r="E154" i="3" s="1"/>
  <c r="G154" i="3"/>
  <c r="H154" i="3" s="1"/>
  <c r="J154" i="3"/>
  <c r="K154" i="3"/>
  <c r="J155" i="3"/>
  <c r="K155" i="3"/>
  <c r="J156" i="3"/>
  <c r="K156" i="3"/>
  <c r="J157" i="3"/>
  <c r="K157" i="3"/>
  <c r="A158" i="3"/>
  <c r="B158" i="3"/>
  <c r="C158" i="3"/>
  <c r="D158" i="3"/>
  <c r="E158" i="3" s="1"/>
  <c r="G158" i="3"/>
  <c r="H158" i="3" s="1"/>
  <c r="J158" i="3"/>
  <c r="K158" i="3"/>
  <c r="J159" i="3"/>
  <c r="K159" i="3"/>
  <c r="J160" i="3"/>
  <c r="K160" i="3"/>
  <c r="J161" i="3"/>
  <c r="K161" i="3"/>
  <c r="A162" i="3"/>
  <c r="B162" i="3"/>
  <c r="C162" i="3"/>
  <c r="D162" i="3"/>
  <c r="E162" i="3" s="1"/>
  <c r="G162" i="3"/>
  <c r="H162" i="3" s="1"/>
  <c r="J162" i="3"/>
  <c r="K162" i="3"/>
  <c r="J163" i="3"/>
  <c r="K163" i="3"/>
  <c r="J164" i="3"/>
  <c r="K164" i="3"/>
  <c r="J165" i="3"/>
  <c r="K165" i="3"/>
  <c r="A166" i="3"/>
  <c r="B166" i="3"/>
  <c r="C166" i="3"/>
  <c r="D166" i="3"/>
  <c r="E166" i="3" s="1"/>
  <c r="G166" i="3"/>
  <c r="H166" i="3" s="1"/>
  <c r="J166" i="3"/>
  <c r="K166" i="3"/>
  <c r="J167" i="3"/>
  <c r="K167" i="3"/>
  <c r="J168" i="3"/>
  <c r="K168" i="3"/>
  <c r="J169" i="3"/>
  <c r="K169" i="3"/>
  <c r="A170" i="3"/>
  <c r="B170" i="3"/>
  <c r="C170" i="3"/>
  <c r="D170" i="3"/>
  <c r="E170" i="3" s="1"/>
  <c r="G170" i="3"/>
  <c r="H170" i="3" s="1"/>
  <c r="J170" i="3"/>
  <c r="K170" i="3"/>
  <c r="J171" i="3"/>
  <c r="K171" i="3"/>
  <c r="J172" i="3"/>
  <c r="K172" i="3"/>
  <c r="J173" i="3"/>
  <c r="K173" i="3"/>
  <c r="A174" i="3"/>
  <c r="B174" i="3"/>
  <c r="C174" i="3"/>
  <c r="D174" i="3"/>
  <c r="E174" i="3" s="1"/>
  <c r="G174" i="3"/>
  <c r="H174" i="3" s="1"/>
  <c r="J174" i="3"/>
  <c r="K174" i="3"/>
  <c r="J175" i="3"/>
  <c r="K175" i="3"/>
  <c r="J176" i="3"/>
  <c r="K176" i="3"/>
  <c r="J177" i="3"/>
  <c r="K177" i="3"/>
  <c r="A178" i="3"/>
  <c r="B178" i="3"/>
  <c r="C178" i="3"/>
  <c r="D178" i="3"/>
  <c r="E178" i="3" s="1"/>
  <c r="G178" i="3"/>
  <c r="H178" i="3" s="1"/>
  <c r="J178" i="3"/>
  <c r="K178" i="3"/>
  <c r="J179" i="3"/>
  <c r="K179" i="3"/>
  <c r="J180" i="3"/>
  <c r="K180" i="3"/>
  <c r="J181" i="3"/>
  <c r="K181" i="3"/>
  <c r="A182" i="3"/>
  <c r="B182" i="3"/>
  <c r="C182" i="3"/>
  <c r="D182" i="3"/>
  <c r="E182" i="3" s="1"/>
  <c r="G182" i="3"/>
  <c r="H182" i="3" s="1"/>
  <c r="J182" i="3"/>
  <c r="K182" i="3"/>
  <c r="J183" i="3"/>
  <c r="K183" i="3"/>
  <c r="J184" i="3"/>
  <c r="K184" i="3"/>
  <c r="J185" i="3"/>
  <c r="K185" i="3"/>
  <c r="A186" i="3"/>
  <c r="B186" i="3"/>
  <c r="C186" i="3"/>
  <c r="D186" i="3"/>
  <c r="E186" i="3" s="1"/>
  <c r="G186" i="3"/>
  <c r="H186" i="3" s="1"/>
  <c r="J186" i="3"/>
  <c r="K186" i="3"/>
  <c r="J187" i="3"/>
  <c r="K187" i="3"/>
  <c r="J188" i="3"/>
  <c r="K188" i="3"/>
  <c r="J189" i="3"/>
  <c r="K189" i="3"/>
  <c r="A190" i="3"/>
  <c r="B190" i="3"/>
  <c r="C190" i="3"/>
  <c r="D190" i="3"/>
  <c r="E190" i="3" s="1"/>
  <c r="G190" i="3"/>
  <c r="H190" i="3" s="1"/>
  <c r="J190" i="3"/>
  <c r="K190" i="3"/>
  <c r="J191" i="3"/>
  <c r="K191" i="3"/>
  <c r="J192" i="3"/>
  <c r="K192" i="3"/>
  <c r="J193" i="3"/>
  <c r="K193" i="3"/>
  <c r="A194" i="3"/>
  <c r="B194" i="3"/>
  <c r="C194" i="3"/>
  <c r="D194" i="3"/>
  <c r="E194" i="3" s="1"/>
  <c r="G194" i="3"/>
  <c r="H194" i="3" s="1"/>
  <c r="J194" i="3"/>
  <c r="K194" i="3"/>
  <c r="J195" i="3"/>
  <c r="K195" i="3"/>
  <c r="J196" i="3"/>
  <c r="K196" i="3"/>
  <c r="J197" i="3"/>
  <c r="K197" i="3"/>
  <c r="A198" i="3"/>
  <c r="B198" i="3"/>
  <c r="C198" i="3"/>
  <c r="D198" i="3"/>
  <c r="E198" i="3" s="1"/>
  <c r="G198" i="3"/>
  <c r="H198" i="3" s="1"/>
  <c r="J198" i="3"/>
  <c r="K198" i="3"/>
  <c r="J199" i="3"/>
  <c r="K199" i="3"/>
  <c r="J200" i="3"/>
  <c r="K200" i="3"/>
  <c r="J201" i="3"/>
  <c r="K201" i="3"/>
  <c r="A202" i="3"/>
  <c r="B202" i="3"/>
  <c r="C202" i="3"/>
  <c r="D202" i="3"/>
  <c r="E202" i="3" s="1"/>
  <c r="G202" i="3"/>
  <c r="H202" i="3" s="1"/>
  <c r="J202" i="3"/>
  <c r="K202" i="3"/>
  <c r="J203" i="3"/>
  <c r="K203" i="3"/>
  <c r="J204" i="3"/>
  <c r="K204" i="3"/>
  <c r="J205" i="3"/>
  <c r="K205" i="3"/>
  <c r="A206" i="3"/>
  <c r="B206" i="3"/>
  <c r="C206" i="3"/>
  <c r="D206" i="3"/>
  <c r="E206" i="3" s="1"/>
  <c r="G206" i="3"/>
  <c r="H206" i="3" s="1"/>
  <c r="J206" i="3"/>
  <c r="K206" i="3"/>
  <c r="J207" i="3"/>
  <c r="K207" i="3"/>
  <c r="J208" i="3"/>
  <c r="K208" i="3"/>
  <c r="J209" i="3"/>
  <c r="K209" i="3"/>
  <c r="A210" i="3"/>
  <c r="B210" i="3"/>
  <c r="C210" i="3"/>
  <c r="D210" i="3"/>
  <c r="E210" i="3" s="1"/>
  <c r="G210" i="3"/>
  <c r="H210" i="3" s="1"/>
  <c r="J210" i="3"/>
  <c r="K210" i="3"/>
  <c r="J211" i="3"/>
  <c r="K211" i="3"/>
  <c r="J212" i="3"/>
  <c r="K212" i="3"/>
  <c r="J213" i="3"/>
  <c r="K213" i="3"/>
  <c r="A214" i="3"/>
  <c r="B214" i="3"/>
  <c r="C214" i="3"/>
  <c r="D214" i="3"/>
  <c r="E214" i="3" s="1"/>
  <c r="G214" i="3"/>
  <c r="H214" i="3" s="1"/>
  <c r="J214" i="3"/>
  <c r="K214" i="3"/>
  <c r="J215" i="3"/>
  <c r="K215" i="3"/>
  <c r="J216" i="3"/>
  <c r="K216" i="3"/>
  <c r="J217" i="3"/>
  <c r="K217" i="3"/>
  <c r="A218" i="3"/>
  <c r="B218" i="3"/>
  <c r="C218" i="3"/>
  <c r="D218" i="3"/>
  <c r="E218" i="3" s="1"/>
  <c r="G218" i="3"/>
  <c r="H218" i="3" s="1"/>
  <c r="J218" i="3"/>
  <c r="K218" i="3"/>
  <c r="J219" i="3"/>
  <c r="K219" i="3"/>
  <c r="J220" i="3"/>
  <c r="K220" i="3"/>
  <c r="J221" i="3"/>
  <c r="K221" i="3"/>
  <c r="A222" i="3"/>
  <c r="B222" i="3"/>
  <c r="C222" i="3"/>
  <c r="D222" i="3"/>
  <c r="E222" i="3" s="1"/>
  <c r="G222" i="3"/>
  <c r="H222" i="3" s="1"/>
  <c r="J222" i="3"/>
  <c r="K222" i="3"/>
  <c r="J223" i="3"/>
  <c r="K223" i="3"/>
  <c r="J224" i="3"/>
  <c r="K224" i="3"/>
  <c r="J225" i="3"/>
  <c r="K225" i="3"/>
  <c r="A226" i="3"/>
  <c r="B226" i="3"/>
  <c r="C226" i="3"/>
  <c r="D226" i="3"/>
  <c r="E226" i="3" s="1"/>
  <c r="G226" i="3"/>
  <c r="H226" i="3" s="1"/>
  <c r="J226" i="3"/>
  <c r="K226" i="3"/>
  <c r="J227" i="3"/>
  <c r="K227" i="3"/>
  <c r="J228" i="3"/>
  <c r="K228" i="3"/>
  <c r="J229" i="3"/>
  <c r="K229" i="3"/>
  <c r="A230" i="3"/>
  <c r="B230" i="3"/>
  <c r="C230" i="3"/>
  <c r="D230" i="3"/>
  <c r="E230" i="3" s="1"/>
  <c r="G230" i="3"/>
  <c r="H230" i="3" s="1"/>
  <c r="J230" i="3"/>
  <c r="K230" i="3"/>
  <c r="J231" i="3"/>
  <c r="K231" i="3"/>
  <c r="J232" i="3"/>
  <c r="K232" i="3"/>
  <c r="J233" i="3"/>
  <c r="K233" i="3"/>
  <c r="A234" i="3"/>
  <c r="B234" i="3"/>
  <c r="C234" i="3"/>
  <c r="D234" i="3"/>
  <c r="E234" i="3" s="1"/>
  <c r="G234" i="3"/>
  <c r="H234" i="3" s="1"/>
  <c r="J234" i="3"/>
  <c r="K234" i="3"/>
  <c r="J235" i="3"/>
  <c r="K235" i="3"/>
  <c r="J236" i="3"/>
  <c r="K236" i="3"/>
  <c r="J237" i="3"/>
  <c r="K237" i="3"/>
  <c r="A238" i="3"/>
  <c r="B238" i="3"/>
  <c r="C238" i="3"/>
  <c r="D238" i="3"/>
  <c r="E238" i="3" s="1"/>
  <c r="G238" i="3"/>
  <c r="H238" i="3" s="1"/>
  <c r="J238" i="3"/>
  <c r="K238" i="3"/>
  <c r="J239" i="3"/>
  <c r="K239" i="3"/>
  <c r="J240" i="3"/>
  <c r="K240" i="3"/>
  <c r="J241" i="3"/>
  <c r="K241" i="3"/>
  <c r="A242" i="3"/>
  <c r="B242" i="3"/>
  <c r="C242" i="3"/>
  <c r="D242" i="3"/>
  <c r="E242" i="3" s="1"/>
  <c r="G242" i="3"/>
  <c r="H242" i="3" s="1"/>
  <c r="J242" i="3"/>
  <c r="K242" i="3"/>
  <c r="J243" i="3"/>
  <c r="K243" i="3"/>
  <c r="J244" i="3"/>
  <c r="K244" i="3"/>
  <c r="J245" i="3"/>
  <c r="K245" i="3"/>
  <c r="A246" i="3"/>
  <c r="B246" i="3"/>
  <c r="C246" i="3"/>
  <c r="D246" i="3"/>
  <c r="E246" i="3" s="1"/>
  <c r="G246" i="3"/>
  <c r="H246" i="3" s="1"/>
  <c r="J246" i="3"/>
  <c r="K246" i="3"/>
  <c r="J247" i="3"/>
  <c r="K247" i="3"/>
  <c r="J248" i="3"/>
  <c r="K248" i="3"/>
  <c r="J249" i="3"/>
  <c r="K249" i="3"/>
  <c r="A250" i="3"/>
  <c r="B250" i="3"/>
  <c r="C250" i="3"/>
  <c r="D250" i="3"/>
  <c r="E250" i="3" s="1"/>
  <c r="G250" i="3"/>
  <c r="H250" i="3" s="1"/>
  <c r="J250" i="3"/>
  <c r="K250" i="3"/>
  <c r="J251" i="3"/>
  <c r="K251" i="3"/>
  <c r="J252" i="3"/>
  <c r="K252" i="3"/>
  <c r="J253" i="3"/>
  <c r="K253" i="3"/>
  <c r="A254" i="3"/>
  <c r="B254" i="3"/>
  <c r="C254" i="3"/>
  <c r="D254" i="3"/>
  <c r="E254" i="3" s="1"/>
  <c r="G254" i="3"/>
  <c r="H254" i="3" s="1"/>
  <c r="J254" i="3"/>
  <c r="K254" i="3"/>
  <c r="J255" i="3"/>
  <c r="K255" i="3"/>
  <c r="J256" i="3"/>
  <c r="K256" i="3"/>
  <c r="J257" i="3"/>
  <c r="K257" i="3"/>
  <c r="A258" i="3"/>
  <c r="B258" i="3"/>
  <c r="C258" i="3"/>
  <c r="D258" i="3"/>
  <c r="E258" i="3" s="1"/>
  <c r="G258" i="3"/>
  <c r="H258" i="3" s="1"/>
  <c r="J258" i="3"/>
  <c r="K258" i="3"/>
  <c r="J259" i="3"/>
  <c r="K259" i="3"/>
  <c r="J260" i="3"/>
  <c r="K260" i="3"/>
  <c r="J261" i="3"/>
  <c r="K261" i="3"/>
  <c r="A262" i="3"/>
  <c r="B262" i="3"/>
  <c r="C262" i="3"/>
  <c r="D262" i="3"/>
  <c r="E262" i="3" s="1"/>
  <c r="G262" i="3"/>
  <c r="H262" i="3" s="1"/>
  <c r="J262" i="3"/>
  <c r="K262" i="3"/>
  <c r="J263" i="3"/>
  <c r="K263" i="3"/>
  <c r="J264" i="3"/>
  <c r="K264" i="3"/>
  <c r="J265" i="3"/>
  <c r="K265" i="3"/>
  <c r="A266" i="3"/>
  <c r="B266" i="3"/>
  <c r="C266" i="3"/>
  <c r="D266" i="3"/>
  <c r="E266" i="3" s="1"/>
  <c r="G266" i="3"/>
  <c r="H266" i="3" s="1"/>
  <c r="J266" i="3"/>
  <c r="K266" i="3"/>
  <c r="J267" i="3"/>
  <c r="K267" i="3"/>
  <c r="J268" i="3"/>
  <c r="K268" i="3"/>
  <c r="J269" i="3"/>
  <c r="K269" i="3"/>
  <c r="A270" i="3"/>
  <c r="B270" i="3"/>
  <c r="C270" i="3"/>
  <c r="D270" i="3"/>
  <c r="E270" i="3" s="1"/>
  <c r="G270" i="3"/>
  <c r="H270" i="3" s="1"/>
  <c r="J270" i="3"/>
  <c r="K270" i="3"/>
  <c r="J271" i="3"/>
  <c r="K271" i="3"/>
  <c r="J272" i="3"/>
  <c r="K272" i="3"/>
  <c r="J273" i="3"/>
  <c r="K273" i="3"/>
  <c r="A274" i="3"/>
  <c r="B274" i="3"/>
  <c r="C274" i="3"/>
  <c r="D274" i="3"/>
  <c r="E274" i="3" s="1"/>
  <c r="G274" i="3"/>
  <c r="H274" i="3" s="1"/>
  <c r="J274" i="3"/>
  <c r="K274" i="3"/>
  <c r="J275" i="3"/>
  <c r="K275" i="3"/>
  <c r="J276" i="3"/>
  <c r="K276" i="3"/>
  <c r="J277" i="3"/>
  <c r="K277" i="3"/>
  <c r="A278" i="3"/>
  <c r="B278" i="3"/>
  <c r="C278" i="3"/>
  <c r="D278" i="3"/>
  <c r="E278" i="3" s="1"/>
  <c r="G278" i="3"/>
  <c r="H278" i="3" s="1"/>
  <c r="J278" i="3"/>
  <c r="K278" i="3"/>
  <c r="J279" i="3"/>
  <c r="K279" i="3"/>
  <c r="J280" i="3"/>
  <c r="K280" i="3"/>
  <c r="J281" i="3"/>
  <c r="K281" i="3"/>
  <c r="A282" i="3"/>
  <c r="B282" i="3"/>
  <c r="C282" i="3"/>
  <c r="D282" i="3"/>
  <c r="E282" i="3" s="1"/>
  <c r="G282" i="3"/>
  <c r="H282" i="3" s="1"/>
  <c r="J282" i="3"/>
  <c r="K282" i="3"/>
  <c r="J283" i="3"/>
  <c r="K283" i="3"/>
  <c r="J284" i="3"/>
  <c r="K284" i="3"/>
  <c r="J285" i="3"/>
  <c r="K285" i="3"/>
  <c r="A286" i="3"/>
  <c r="B286" i="3"/>
  <c r="C286" i="3"/>
  <c r="D286" i="3"/>
  <c r="E286" i="3" s="1"/>
  <c r="G286" i="3"/>
  <c r="H286" i="3" s="1"/>
  <c r="J286" i="3"/>
  <c r="K286" i="3"/>
  <c r="J287" i="3"/>
  <c r="K287" i="3"/>
  <c r="J288" i="3"/>
  <c r="K288" i="3"/>
  <c r="J289" i="3"/>
  <c r="K289" i="3"/>
  <c r="A290" i="3"/>
  <c r="B290" i="3"/>
  <c r="C290" i="3"/>
  <c r="D290" i="3"/>
  <c r="E290" i="3" s="1"/>
  <c r="G290" i="3"/>
  <c r="H290" i="3" s="1"/>
  <c r="J290" i="3"/>
  <c r="K290" i="3"/>
  <c r="J291" i="3"/>
  <c r="K291" i="3"/>
  <c r="J292" i="3"/>
  <c r="K292" i="3"/>
  <c r="J293" i="3"/>
  <c r="K293" i="3"/>
  <c r="A294" i="3"/>
  <c r="B294" i="3"/>
  <c r="C294" i="3"/>
  <c r="D294" i="3"/>
  <c r="E294" i="3" s="1"/>
  <c r="G294" i="3"/>
  <c r="H294" i="3" s="1"/>
  <c r="J294" i="3"/>
  <c r="K294" i="3"/>
  <c r="J295" i="3"/>
  <c r="K295" i="3"/>
  <c r="J296" i="3"/>
  <c r="K296" i="3"/>
  <c r="J297" i="3"/>
  <c r="K297" i="3"/>
  <c r="A298" i="3"/>
  <c r="B298" i="3"/>
  <c r="C298" i="3"/>
  <c r="D298" i="3"/>
  <c r="E298" i="3" s="1"/>
  <c r="G298" i="3"/>
  <c r="H298" i="3" s="1"/>
  <c r="J298" i="3"/>
  <c r="K298" i="3"/>
  <c r="J299" i="3"/>
  <c r="K299" i="3"/>
  <c r="J300" i="3"/>
  <c r="K300" i="3"/>
  <c r="J301" i="3"/>
  <c r="K301" i="3"/>
  <c r="A302" i="3"/>
  <c r="B302" i="3"/>
  <c r="C302" i="3"/>
  <c r="D302" i="3"/>
  <c r="E302" i="3" s="1"/>
  <c r="G302" i="3"/>
  <c r="H302" i="3" s="1"/>
  <c r="J302" i="3"/>
  <c r="K302" i="3"/>
  <c r="J303" i="3"/>
  <c r="K303" i="3"/>
  <c r="J304" i="3"/>
  <c r="K304" i="3"/>
  <c r="J305" i="3"/>
  <c r="K305" i="3"/>
  <c r="A306" i="3"/>
  <c r="B306" i="3"/>
  <c r="C306" i="3"/>
  <c r="D306" i="3"/>
  <c r="E306" i="3" s="1"/>
  <c r="G306" i="3"/>
  <c r="H306" i="3" s="1"/>
  <c r="J306" i="3"/>
  <c r="K306" i="3"/>
  <c r="J307" i="3"/>
  <c r="K307" i="3"/>
  <c r="J308" i="3"/>
  <c r="K308" i="3"/>
  <c r="J309" i="3"/>
  <c r="K309" i="3"/>
  <c r="A310" i="3"/>
  <c r="B310" i="3"/>
  <c r="C310" i="3"/>
  <c r="D310" i="3"/>
  <c r="E310" i="3" s="1"/>
  <c r="G310" i="3"/>
  <c r="H310" i="3" s="1"/>
  <c r="J310" i="3"/>
  <c r="K310" i="3"/>
  <c r="J311" i="3"/>
  <c r="K311" i="3"/>
  <c r="J312" i="3"/>
  <c r="K312" i="3"/>
  <c r="J313" i="3"/>
  <c r="K313" i="3"/>
  <c r="A314" i="3"/>
  <c r="B314" i="3"/>
  <c r="C314" i="3"/>
  <c r="D314" i="3"/>
  <c r="E314" i="3" s="1"/>
  <c r="G314" i="3"/>
  <c r="H314" i="3" s="1"/>
  <c r="J314" i="3"/>
  <c r="K314" i="3"/>
  <c r="J315" i="3"/>
  <c r="K315" i="3"/>
  <c r="J316" i="3"/>
  <c r="K316" i="3"/>
  <c r="J317" i="3"/>
  <c r="K317" i="3"/>
  <c r="A318" i="3"/>
  <c r="B318" i="3"/>
  <c r="C318" i="3"/>
  <c r="D318" i="3"/>
  <c r="E318" i="3" s="1"/>
  <c r="G318" i="3"/>
  <c r="H318" i="3" s="1"/>
  <c r="J318" i="3"/>
  <c r="K318" i="3"/>
  <c r="J319" i="3"/>
  <c r="K319" i="3"/>
  <c r="J320" i="3"/>
  <c r="K320" i="3"/>
  <c r="J321" i="3"/>
  <c r="K321" i="3"/>
  <c r="A322" i="3"/>
  <c r="B322" i="3"/>
  <c r="C322" i="3"/>
  <c r="D322" i="3"/>
  <c r="E322" i="3" s="1"/>
  <c r="G322" i="3"/>
  <c r="H322" i="3" s="1"/>
  <c r="J322" i="3"/>
  <c r="K322" i="3"/>
  <c r="J323" i="3"/>
  <c r="K323" i="3"/>
  <c r="J324" i="3"/>
  <c r="K324" i="3"/>
  <c r="J325" i="3"/>
  <c r="K325" i="3"/>
  <c r="A326" i="3"/>
  <c r="B326" i="3"/>
  <c r="C326" i="3"/>
  <c r="D326" i="3"/>
  <c r="E326" i="3" s="1"/>
  <c r="G326" i="3"/>
  <c r="H326" i="3" s="1"/>
  <c r="J326" i="3"/>
  <c r="K326" i="3"/>
  <c r="J327" i="3"/>
  <c r="K327" i="3"/>
  <c r="J328" i="3"/>
  <c r="K328" i="3"/>
  <c r="J329" i="3"/>
  <c r="K329" i="3"/>
  <c r="A330" i="3"/>
  <c r="B330" i="3"/>
  <c r="C330" i="3"/>
  <c r="D330" i="3"/>
  <c r="E330" i="3" s="1"/>
  <c r="G330" i="3"/>
  <c r="H330" i="3" s="1"/>
  <c r="J330" i="3"/>
  <c r="K330" i="3"/>
  <c r="J331" i="3"/>
  <c r="K331" i="3"/>
  <c r="J332" i="3"/>
  <c r="K332" i="3"/>
  <c r="J333" i="3"/>
  <c r="K333" i="3"/>
  <c r="A334" i="3"/>
  <c r="B334" i="3"/>
  <c r="C334" i="3"/>
  <c r="D334" i="3"/>
  <c r="E334" i="3" s="1"/>
  <c r="G334" i="3"/>
  <c r="H334" i="3" s="1"/>
  <c r="J334" i="3"/>
  <c r="K334" i="3"/>
  <c r="J335" i="3"/>
  <c r="K335" i="3"/>
  <c r="J336" i="3"/>
  <c r="K336" i="3"/>
  <c r="J337" i="3"/>
  <c r="K337" i="3"/>
  <c r="A338" i="3"/>
  <c r="B338" i="3"/>
  <c r="C338" i="3"/>
  <c r="D338" i="3"/>
  <c r="E338" i="3" s="1"/>
  <c r="G338" i="3"/>
  <c r="H338" i="3" s="1"/>
  <c r="J338" i="3"/>
  <c r="K338" i="3"/>
  <c r="J339" i="3"/>
  <c r="K339" i="3"/>
  <c r="J340" i="3"/>
  <c r="K340" i="3"/>
  <c r="J341" i="3"/>
  <c r="K341" i="3"/>
  <c r="A342" i="3"/>
  <c r="B342" i="3"/>
  <c r="C342" i="3"/>
  <c r="D342" i="3"/>
  <c r="E342" i="3" s="1"/>
  <c r="G342" i="3"/>
  <c r="H342" i="3" s="1"/>
  <c r="J342" i="3"/>
  <c r="K342" i="3"/>
  <c r="J343" i="3"/>
  <c r="K343" i="3"/>
  <c r="J344" i="3"/>
  <c r="K344" i="3"/>
  <c r="J345" i="3"/>
  <c r="K345" i="3"/>
  <c r="A346" i="3"/>
  <c r="B346" i="3"/>
  <c r="C346" i="3"/>
  <c r="D346" i="3"/>
  <c r="E346" i="3" s="1"/>
  <c r="G346" i="3"/>
  <c r="H346" i="3" s="1"/>
  <c r="J346" i="3"/>
  <c r="K346" i="3"/>
  <c r="J347" i="3"/>
  <c r="K347" i="3"/>
  <c r="J348" i="3"/>
  <c r="K348" i="3"/>
  <c r="J349" i="3"/>
  <c r="K349" i="3"/>
  <c r="A350" i="3"/>
  <c r="B350" i="3"/>
  <c r="C350" i="3"/>
  <c r="D350" i="3"/>
  <c r="E350" i="3" s="1"/>
  <c r="G350" i="3"/>
  <c r="H350" i="3" s="1"/>
  <c r="J350" i="3"/>
  <c r="K350" i="3"/>
  <c r="J351" i="3"/>
  <c r="K351" i="3"/>
  <c r="J352" i="3"/>
  <c r="K352" i="3"/>
  <c r="J353" i="3"/>
  <c r="K353" i="3"/>
  <c r="A354" i="3"/>
  <c r="B354" i="3"/>
  <c r="C354" i="3"/>
  <c r="D354" i="3"/>
  <c r="E354" i="3" s="1"/>
  <c r="G354" i="3"/>
  <c r="H354" i="3" s="1"/>
  <c r="J354" i="3"/>
  <c r="K354" i="3"/>
  <c r="J355" i="3"/>
  <c r="K355" i="3"/>
  <c r="J356" i="3"/>
  <c r="K356" i="3"/>
  <c r="J357" i="3"/>
  <c r="K357" i="3"/>
  <c r="A358" i="3"/>
  <c r="B358" i="3"/>
  <c r="C358" i="3"/>
  <c r="D358" i="3"/>
  <c r="E358" i="3" s="1"/>
  <c r="G358" i="3"/>
  <c r="H358" i="3" s="1"/>
  <c r="J358" i="3"/>
  <c r="K358" i="3"/>
  <c r="J359" i="3"/>
  <c r="K359" i="3"/>
  <c r="J360" i="3"/>
  <c r="K360" i="3"/>
  <c r="J361" i="3"/>
  <c r="K361" i="3"/>
  <c r="A362" i="3"/>
  <c r="B362" i="3"/>
  <c r="C362" i="3"/>
  <c r="D362" i="3"/>
  <c r="E362" i="3" s="1"/>
  <c r="G362" i="3"/>
  <c r="H362" i="3" s="1"/>
  <c r="J362" i="3"/>
  <c r="K362" i="3"/>
  <c r="J363" i="3"/>
  <c r="K363" i="3"/>
  <c r="J364" i="3"/>
  <c r="K364" i="3"/>
  <c r="J365" i="3"/>
  <c r="K365" i="3"/>
  <c r="A366" i="3"/>
  <c r="B366" i="3"/>
  <c r="C366" i="3"/>
  <c r="D366" i="3"/>
  <c r="E366" i="3" s="1"/>
  <c r="G366" i="3"/>
  <c r="H366" i="3" s="1"/>
  <c r="J366" i="3"/>
  <c r="K366" i="3"/>
  <c r="J367" i="3"/>
  <c r="K367" i="3"/>
  <c r="J368" i="3"/>
  <c r="K368" i="3"/>
  <c r="J369" i="3"/>
  <c r="K369" i="3"/>
  <c r="A370" i="3"/>
  <c r="B370" i="3"/>
  <c r="C370" i="3"/>
  <c r="D370" i="3"/>
  <c r="E370" i="3" s="1"/>
  <c r="G370" i="3"/>
  <c r="H370" i="3" s="1"/>
  <c r="J370" i="3"/>
  <c r="K370" i="3"/>
  <c r="J371" i="3"/>
  <c r="K371" i="3"/>
  <c r="J372" i="3"/>
  <c r="K372" i="3"/>
  <c r="J373" i="3"/>
  <c r="K373" i="3"/>
  <c r="A374" i="3"/>
  <c r="B374" i="3"/>
  <c r="C374" i="3"/>
  <c r="D374" i="3"/>
  <c r="E374" i="3" s="1"/>
  <c r="G374" i="3"/>
  <c r="H374" i="3" s="1"/>
  <c r="J374" i="3"/>
  <c r="K374" i="3"/>
  <c r="J375" i="3"/>
  <c r="K375" i="3"/>
  <c r="J376" i="3"/>
  <c r="K376" i="3"/>
  <c r="J377" i="3"/>
  <c r="K377" i="3"/>
  <c r="A378" i="3"/>
  <c r="B378" i="3"/>
  <c r="C378" i="3"/>
  <c r="D378" i="3"/>
  <c r="E378" i="3" s="1"/>
  <c r="G378" i="3"/>
  <c r="H378" i="3" s="1"/>
  <c r="J378" i="3"/>
  <c r="K378" i="3"/>
  <c r="J379" i="3"/>
  <c r="K379" i="3"/>
  <c r="J380" i="3"/>
  <c r="K380" i="3"/>
  <c r="J381" i="3"/>
  <c r="K381" i="3"/>
  <c r="A382" i="3"/>
  <c r="B382" i="3"/>
  <c r="C382" i="3"/>
  <c r="D382" i="3"/>
  <c r="E382" i="3" s="1"/>
  <c r="G382" i="3"/>
  <c r="H382" i="3" s="1"/>
  <c r="J382" i="3"/>
  <c r="K382" i="3"/>
  <c r="J383" i="3"/>
  <c r="K383" i="3"/>
  <c r="J384" i="3"/>
  <c r="K384" i="3"/>
  <c r="J385" i="3"/>
  <c r="K385" i="3"/>
  <c r="A386" i="3"/>
  <c r="B386" i="3"/>
  <c r="C386" i="3"/>
  <c r="D386" i="3"/>
  <c r="E386" i="3" s="1"/>
  <c r="G386" i="3"/>
  <c r="H386" i="3" s="1"/>
  <c r="J386" i="3"/>
  <c r="K386" i="3"/>
  <c r="J387" i="3"/>
  <c r="K387" i="3"/>
  <c r="J388" i="3"/>
  <c r="K388" i="3"/>
  <c r="J389" i="3"/>
  <c r="K389" i="3"/>
  <c r="A390" i="3"/>
  <c r="B390" i="3"/>
  <c r="C390" i="3"/>
  <c r="D390" i="3"/>
  <c r="E390" i="3" s="1"/>
  <c r="G390" i="3"/>
  <c r="H390" i="3" s="1"/>
  <c r="J390" i="3"/>
  <c r="K390" i="3"/>
  <c r="J391" i="3"/>
  <c r="K391" i="3"/>
  <c r="J392" i="3"/>
  <c r="K392" i="3"/>
  <c r="J393" i="3"/>
  <c r="K393" i="3"/>
  <c r="A394" i="3"/>
  <c r="B394" i="3"/>
  <c r="C394" i="3"/>
  <c r="D394" i="3"/>
  <c r="E394" i="3" s="1"/>
  <c r="G394" i="3"/>
  <c r="H394" i="3" s="1"/>
  <c r="J394" i="3"/>
  <c r="K394" i="3"/>
  <c r="J395" i="3"/>
  <c r="K395" i="3"/>
  <c r="J396" i="3"/>
  <c r="K396" i="3"/>
  <c r="J397" i="3"/>
  <c r="K397" i="3"/>
  <c r="A398" i="3"/>
  <c r="B398" i="3"/>
  <c r="C398" i="3"/>
  <c r="D398" i="3"/>
  <c r="E398" i="3" s="1"/>
  <c r="G398" i="3"/>
  <c r="H398" i="3" s="1"/>
  <c r="J398" i="3"/>
  <c r="K398" i="3"/>
  <c r="J399" i="3"/>
  <c r="K399" i="3"/>
  <c r="J400" i="3"/>
  <c r="K400" i="3"/>
  <c r="J401" i="3"/>
  <c r="K401" i="3"/>
  <c r="A402" i="3"/>
  <c r="B402" i="3"/>
  <c r="C402" i="3"/>
  <c r="D402" i="3"/>
  <c r="E402" i="3" s="1"/>
  <c r="G402" i="3"/>
  <c r="H402" i="3" s="1"/>
  <c r="J402" i="3"/>
  <c r="K402" i="3"/>
  <c r="J403" i="3"/>
  <c r="K403" i="3"/>
  <c r="J404" i="3"/>
  <c r="K404" i="3"/>
  <c r="J405" i="3"/>
  <c r="K405" i="3"/>
  <c r="A406" i="3"/>
  <c r="B406" i="3"/>
  <c r="C406" i="3"/>
  <c r="D406" i="3"/>
  <c r="E406" i="3" s="1"/>
  <c r="G406" i="3"/>
  <c r="H406" i="3" s="1"/>
  <c r="J406" i="3"/>
  <c r="K406" i="3"/>
  <c r="J407" i="3"/>
  <c r="K407" i="3"/>
  <c r="J408" i="3"/>
  <c r="K408" i="3"/>
  <c r="J409" i="3"/>
  <c r="K409" i="3"/>
  <c r="A410" i="3"/>
  <c r="B410" i="3"/>
  <c r="C410" i="3"/>
  <c r="D410" i="3"/>
  <c r="E410" i="3" s="1"/>
  <c r="G410" i="3"/>
  <c r="H410" i="3" s="1"/>
  <c r="J410" i="3"/>
  <c r="K410" i="3"/>
  <c r="J411" i="3"/>
  <c r="K411" i="3"/>
  <c r="J412" i="3"/>
  <c r="K412" i="3"/>
  <c r="J413" i="3"/>
  <c r="K413" i="3"/>
  <c r="A414" i="3"/>
  <c r="B414" i="3"/>
  <c r="C414" i="3"/>
  <c r="D414" i="3"/>
  <c r="E414" i="3" s="1"/>
  <c r="G414" i="3"/>
  <c r="H414" i="3" s="1"/>
  <c r="J414" i="3"/>
  <c r="K414" i="3"/>
  <c r="J415" i="3"/>
  <c r="K415" i="3"/>
  <c r="J416" i="3"/>
  <c r="K416" i="3"/>
  <c r="J417" i="3"/>
  <c r="K417" i="3"/>
  <c r="A418" i="3"/>
  <c r="B418" i="3"/>
  <c r="C418" i="3"/>
  <c r="D418" i="3"/>
  <c r="E418" i="3" s="1"/>
  <c r="G418" i="3"/>
  <c r="H418" i="3" s="1"/>
  <c r="J418" i="3"/>
  <c r="K418" i="3"/>
  <c r="J419" i="3"/>
  <c r="K419" i="3"/>
  <c r="J420" i="3"/>
  <c r="K420" i="3"/>
  <c r="J421" i="3"/>
  <c r="K421" i="3"/>
  <c r="A422" i="3"/>
  <c r="B422" i="3"/>
  <c r="C422" i="3"/>
  <c r="D422" i="3"/>
  <c r="E422" i="3" s="1"/>
  <c r="G422" i="3"/>
  <c r="H422" i="3" s="1"/>
  <c r="J422" i="3"/>
  <c r="K422" i="3"/>
  <c r="J423" i="3"/>
  <c r="K423" i="3"/>
  <c r="J424" i="3"/>
  <c r="K424" i="3"/>
  <c r="J425" i="3"/>
  <c r="K425" i="3"/>
  <c r="A426" i="3"/>
  <c r="B426" i="3"/>
  <c r="C426" i="3"/>
  <c r="D426" i="3"/>
  <c r="E426" i="3" s="1"/>
  <c r="G426" i="3"/>
  <c r="H426" i="3" s="1"/>
  <c r="J426" i="3"/>
  <c r="K426" i="3"/>
  <c r="J427" i="3"/>
  <c r="K427" i="3"/>
  <c r="J428" i="3"/>
  <c r="K428" i="3"/>
  <c r="J429" i="3"/>
  <c r="K429" i="3"/>
  <c r="A430" i="3"/>
  <c r="B430" i="3"/>
  <c r="C430" i="3"/>
  <c r="D430" i="3"/>
  <c r="E430" i="3" s="1"/>
  <c r="G430" i="3"/>
  <c r="H430" i="3" s="1"/>
  <c r="J430" i="3"/>
  <c r="K430" i="3"/>
  <c r="J431" i="3"/>
  <c r="K431" i="3"/>
  <c r="J432" i="3"/>
  <c r="K432" i="3"/>
  <c r="J433" i="3"/>
  <c r="K433" i="3"/>
  <c r="A434" i="3"/>
  <c r="B434" i="3"/>
  <c r="C434" i="3"/>
  <c r="D434" i="3"/>
  <c r="E434" i="3" s="1"/>
  <c r="G434" i="3"/>
  <c r="H434" i="3" s="1"/>
  <c r="J434" i="3"/>
  <c r="K434" i="3"/>
  <c r="J435" i="3"/>
  <c r="K435" i="3"/>
  <c r="J436" i="3"/>
  <c r="K436" i="3"/>
  <c r="J437" i="3"/>
  <c r="K437" i="3"/>
  <c r="A438" i="3"/>
  <c r="B438" i="3"/>
  <c r="C438" i="3"/>
  <c r="D438" i="3"/>
  <c r="E438" i="3" s="1"/>
  <c r="G438" i="3"/>
  <c r="H438" i="3" s="1"/>
  <c r="J438" i="3"/>
  <c r="K438" i="3"/>
  <c r="J439" i="3"/>
  <c r="K439" i="3"/>
  <c r="J440" i="3"/>
  <c r="K440" i="3"/>
  <c r="J441" i="3"/>
  <c r="K441" i="3"/>
  <c r="A442" i="3"/>
  <c r="B442" i="3"/>
  <c r="C442" i="3"/>
  <c r="D442" i="3"/>
  <c r="E442" i="3" s="1"/>
  <c r="G442" i="3"/>
  <c r="H442" i="3" s="1"/>
  <c r="J442" i="3"/>
  <c r="K442" i="3"/>
  <c r="J443" i="3"/>
  <c r="K443" i="3"/>
  <c r="J444" i="3"/>
  <c r="K444" i="3"/>
  <c r="J445" i="3"/>
  <c r="K445" i="3"/>
  <c r="A446" i="3"/>
  <c r="B446" i="3"/>
  <c r="C446" i="3"/>
  <c r="D446" i="3"/>
  <c r="E446" i="3" s="1"/>
  <c r="G446" i="3"/>
  <c r="H446" i="3" s="1"/>
  <c r="J446" i="3"/>
  <c r="K446" i="3"/>
  <c r="J447" i="3"/>
  <c r="K447" i="3"/>
  <c r="J448" i="3"/>
  <c r="K448" i="3"/>
  <c r="J449" i="3"/>
  <c r="K449" i="3"/>
  <c r="A450" i="3"/>
  <c r="B450" i="3"/>
  <c r="C450" i="3"/>
  <c r="D450" i="3"/>
  <c r="E450" i="3" s="1"/>
  <c r="G450" i="3"/>
  <c r="H450" i="3" s="1"/>
  <c r="J450" i="3"/>
  <c r="K450" i="3"/>
  <c r="J451" i="3"/>
  <c r="K451" i="3"/>
  <c r="J452" i="3"/>
  <c r="K452" i="3"/>
  <c r="J453" i="3"/>
  <c r="K453" i="3"/>
  <c r="A454" i="3"/>
  <c r="B454" i="3"/>
  <c r="C454" i="3"/>
  <c r="D454" i="3"/>
  <c r="E454" i="3" s="1"/>
  <c r="G454" i="3"/>
  <c r="H454" i="3" s="1"/>
  <c r="J454" i="3"/>
  <c r="K454" i="3"/>
  <c r="J455" i="3"/>
  <c r="K455" i="3"/>
  <c r="J456" i="3"/>
  <c r="K456" i="3"/>
  <c r="J457" i="3"/>
  <c r="K457" i="3"/>
  <c r="A458" i="3"/>
  <c r="B458" i="3"/>
  <c r="C458" i="3"/>
  <c r="D458" i="3"/>
  <c r="E458" i="3" s="1"/>
  <c r="G458" i="3"/>
  <c r="H458" i="3" s="1"/>
  <c r="J458" i="3"/>
  <c r="K458" i="3"/>
  <c r="J459" i="3"/>
  <c r="K459" i="3"/>
  <c r="J460" i="3"/>
  <c r="K460" i="3"/>
  <c r="J461" i="3"/>
  <c r="K461" i="3"/>
  <c r="A462" i="3"/>
  <c r="B462" i="3"/>
  <c r="C462" i="3"/>
  <c r="D462" i="3"/>
  <c r="E462" i="3" s="1"/>
  <c r="G462" i="3"/>
  <c r="H462" i="3" s="1"/>
  <c r="J462" i="3"/>
  <c r="K462" i="3"/>
  <c r="J463" i="3"/>
  <c r="K463" i="3"/>
  <c r="J464" i="3"/>
  <c r="K464" i="3"/>
  <c r="J465" i="3"/>
  <c r="K465" i="3"/>
  <c r="A466" i="3"/>
  <c r="B466" i="3"/>
  <c r="C466" i="3"/>
  <c r="D466" i="3"/>
  <c r="E466" i="3" s="1"/>
  <c r="G466" i="3"/>
  <c r="H466" i="3" s="1"/>
  <c r="J466" i="3"/>
  <c r="K466" i="3"/>
  <c r="J467" i="3"/>
  <c r="K467" i="3"/>
  <c r="J468" i="3"/>
  <c r="K468" i="3"/>
  <c r="J469" i="3"/>
  <c r="K469" i="3"/>
  <c r="A470" i="3"/>
  <c r="B470" i="3"/>
  <c r="C470" i="3"/>
  <c r="D470" i="3"/>
  <c r="E470" i="3" s="1"/>
  <c r="G470" i="3"/>
  <c r="H470" i="3" s="1"/>
  <c r="J470" i="3"/>
  <c r="K470" i="3"/>
  <c r="J471" i="3"/>
  <c r="K471" i="3"/>
  <c r="J472" i="3"/>
  <c r="K472" i="3"/>
  <c r="J473" i="3"/>
  <c r="K473" i="3"/>
  <c r="A474" i="3"/>
  <c r="B474" i="3"/>
  <c r="C474" i="3"/>
  <c r="D474" i="3"/>
  <c r="E474" i="3" s="1"/>
  <c r="G474" i="3"/>
  <c r="H474" i="3" s="1"/>
  <c r="J474" i="3"/>
  <c r="K474" i="3"/>
  <c r="J475" i="3"/>
  <c r="K475" i="3"/>
  <c r="J476" i="3"/>
  <c r="K476" i="3"/>
  <c r="J477" i="3"/>
  <c r="K477" i="3"/>
  <c r="A478" i="3"/>
  <c r="B478" i="3"/>
  <c r="C478" i="3"/>
  <c r="D478" i="3"/>
  <c r="E478" i="3" s="1"/>
  <c r="G478" i="3"/>
  <c r="H478" i="3" s="1"/>
  <c r="J478" i="3"/>
  <c r="K478" i="3"/>
  <c r="J479" i="3"/>
  <c r="K479" i="3"/>
  <c r="J480" i="3"/>
  <c r="K480" i="3"/>
  <c r="J481" i="3"/>
  <c r="K481" i="3"/>
  <c r="A482" i="3"/>
  <c r="B482" i="3"/>
  <c r="C482" i="3"/>
  <c r="D482" i="3"/>
  <c r="E482" i="3" s="1"/>
  <c r="G482" i="3"/>
  <c r="H482" i="3" s="1"/>
  <c r="J482" i="3"/>
  <c r="K482" i="3"/>
  <c r="J483" i="3"/>
  <c r="K483" i="3"/>
  <c r="J484" i="3"/>
  <c r="K484" i="3"/>
  <c r="J485" i="3"/>
  <c r="K485" i="3"/>
  <c r="A486" i="3"/>
  <c r="B486" i="3"/>
  <c r="C486" i="3"/>
  <c r="D486" i="3"/>
  <c r="E486" i="3" s="1"/>
  <c r="G486" i="3"/>
  <c r="H486" i="3" s="1"/>
  <c r="J486" i="3"/>
  <c r="K486" i="3"/>
  <c r="J487" i="3"/>
  <c r="K487" i="3"/>
  <c r="J488" i="3"/>
  <c r="K488" i="3"/>
  <c r="J489" i="3"/>
  <c r="K489" i="3"/>
  <c r="A490" i="3"/>
  <c r="B490" i="3"/>
  <c r="C490" i="3"/>
  <c r="D490" i="3"/>
  <c r="E490" i="3" s="1"/>
  <c r="G490" i="3"/>
  <c r="H490" i="3" s="1"/>
  <c r="J490" i="3"/>
  <c r="K490" i="3"/>
  <c r="J491" i="3"/>
  <c r="K491" i="3"/>
  <c r="J492" i="3"/>
  <c r="K492" i="3"/>
  <c r="J493" i="3"/>
  <c r="K493" i="3"/>
  <c r="A494" i="3"/>
  <c r="B494" i="3"/>
  <c r="C494" i="3"/>
  <c r="D494" i="3"/>
  <c r="E494" i="3" s="1"/>
  <c r="G494" i="3"/>
  <c r="H494" i="3" s="1"/>
  <c r="J494" i="3"/>
  <c r="K494" i="3"/>
  <c r="J495" i="3"/>
  <c r="K495" i="3"/>
  <c r="J496" i="3"/>
  <c r="K496" i="3"/>
  <c r="J497" i="3"/>
  <c r="K497" i="3"/>
  <c r="A498" i="3"/>
  <c r="B498" i="3"/>
  <c r="C498" i="3"/>
  <c r="D498" i="3"/>
  <c r="E498" i="3" s="1"/>
  <c r="G498" i="3"/>
  <c r="H498" i="3" s="1"/>
  <c r="J498" i="3"/>
  <c r="K498" i="3"/>
  <c r="J499" i="3"/>
  <c r="K499" i="3"/>
  <c r="J500" i="3"/>
  <c r="K500" i="3"/>
  <c r="J501" i="3"/>
  <c r="K501" i="3"/>
  <c r="A502" i="3"/>
  <c r="B502" i="3"/>
  <c r="C502" i="3"/>
  <c r="D502" i="3"/>
  <c r="E502" i="3" s="1"/>
  <c r="G502" i="3"/>
  <c r="H502" i="3" s="1"/>
  <c r="J502" i="3"/>
  <c r="K502" i="3"/>
  <c r="J503" i="3"/>
  <c r="K503" i="3"/>
  <c r="J504" i="3"/>
  <c r="K504" i="3"/>
  <c r="J505" i="3"/>
  <c r="K505" i="3"/>
  <c r="A506" i="3"/>
  <c r="B506" i="3"/>
  <c r="C506" i="3"/>
  <c r="D506" i="3"/>
  <c r="E506" i="3" s="1"/>
  <c r="G506" i="3"/>
  <c r="H506" i="3" s="1"/>
  <c r="J506" i="3"/>
  <c r="K506" i="3"/>
  <c r="J507" i="3"/>
  <c r="K507" i="3"/>
  <c r="J508" i="3"/>
  <c r="K508" i="3"/>
  <c r="J509" i="3"/>
  <c r="K509" i="3"/>
  <c r="A510" i="3"/>
  <c r="B510" i="3"/>
  <c r="C510" i="3"/>
  <c r="D510" i="3"/>
  <c r="E510" i="3" s="1"/>
  <c r="G510" i="3"/>
  <c r="H510" i="3" s="1"/>
  <c r="J510" i="3"/>
  <c r="K510" i="3"/>
  <c r="J511" i="3"/>
  <c r="K511" i="3"/>
  <c r="J512" i="3"/>
  <c r="K512" i="3"/>
  <c r="J513" i="3"/>
  <c r="K513" i="3"/>
  <c r="A514" i="3"/>
  <c r="B514" i="3"/>
  <c r="C514" i="3"/>
  <c r="D514" i="3"/>
  <c r="E514" i="3" s="1"/>
  <c r="G514" i="3"/>
  <c r="H514" i="3" s="1"/>
  <c r="J514" i="3"/>
  <c r="K514" i="3"/>
  <c r="J515" i="3"/>
  <c r="K515" i="3"/>
  <c r="J516" i="3"/>
  <c r="K516" i="3"/>
  <c r="J517" i="3"/>
  <c r="K517" i="3"/>
  <c r="A518" i="3"/>
  <c r="B518" i="3"/>
  <c r="C518" i="3"/>
  <c r="D518" i="3"/>
  <c r="E518" i="3" s="1"/>
  <c r="G518" i="3"/>
  <c r="H518" i="3" s="1"/>
  <c r="J518" i="3"/>
  <c r="K518" i="3"/>
  <c r="J519" i="3"/>
  <c r="K519" i="3"/>
  <c r="J520" i="3"/>
  <c r="K520" i="3"/>
  <c r="J521" i="3"/>
  <c r="K521" i="3"/>
  <c r="A522" i="3"/>
  <c r="B522" i="3"/>
  <c r="C522" i="3"/>
  <c r="D522" i="3"/>
  <c r="E522" i="3" s="1"/>
  <c r="G522" i="3"/>
  <c r="H522" i="3" s="1"/>
  <c r="J522" i="3"/>
  <c r="K522" i="3"/>
  <c r="J523" i="3"/>
  <c r="K523" i="3"/>
  <c r="J524" i="3"/>
  <c r="K524" i="3"/>
  <c r="J525" i="3"/>
  <c r="K525" i="3"/>
  <c r="A526" i="3"/>
  <c r="B526" i="3"/>
  <c r="C526" i="3"/>
  <c r="D526" i="3"/>
  <c r="E526" i="3" s="1"/>
  <c r="G526" i="3"/>
  <c r="H526" i="3" s="1"/>
  <c r="J526" i="3"/>
  <c r="K526" i="3"/>
  <c r="J527" i="3"/>
  <c r="K527" i="3"/>
  <c r="J528" i="3"/>
  <c r="K528" i="3"/>
  <c r="J529" i="3"/>
  <c r="K529" i="3"/>
  <c r="A530" i="3"/>
  <c r="B530" i="3"/>
  <c r="C530" i="3"/>
  <c r="D530" i="3"/>
  <c r="E530" i="3" s="1"/>
  <c r="G530" i="3"/>
  <c r="H530" i="3" s="1"/>
  <c r="J530" i="3"/>
  <c r="K530" i="3"/>
  <c r="J531" i="3"/>
  <c r="K531" i="3"/>
  <c r="J532" i="3"/>
  <c r="K532" i="3"/>
  <c r="J533" i="3"/>
  <c r="K533" i="3"/>
  <c r="A534" i="3"/>
  <c r="B534" i="3"/>
  <c r="C534" i="3"/>
  <c r="D534" i="3"/>
  <c r="E534" i="3" s="1"/>
  <c r="G534" i="3"/>
  <c r="H534" i="3" s="1"/>
  <c r="J534" i="3"/>
  <c r="K534" i="3"/>
  <c r="J535" i="3"/>
  <c r="K535" i="3"/>
  <c r="J536" i="3"/>
  <c r="K536" i="3"/>
  <c r="J537" i="3"/>
  <c r="K537" i="3"/>
  <c r="A538" i="3"/>
  <c r="B538" i="3"/>
  <c r="C538" i="3"/>
  <c r="D538" i="3"/>
  <c r="E538" i="3" s="1"/>
  <c r="G538" i="3"/>
  <c r="H538" i="3" s="1"/>
  <c r="J538" i="3"/>
  <c r="K538" i="3"/>
  <c r="J539" i="3"/>
  <c r="K539" i="3"/>
  <c r="J540" i="3"/>
  <c r="K540" i="3"/>
  <c r="J541" i="3"/>
  <c r="K541" i="3"/>
  <c r="A542" i="3"/>
  <c r="B542" i="3"/>
  <c r="C542" i="3"/>
  <c r="D542" i="3"/>
  <c r="E542" i="3" s="1"/>
  <c r="G542" i="3"/>
  <c r="H542" i="3" s="1"/>
  <c r="J542" i="3"/>
  <c r="K542" i="3"/>
  <c r="J543" i="3"/>
  <c r="K543" i="3"/>
  <c r="J544" i="3"/>
  <c r="K544" i="3"/>
  <c r="J545" i="3"/>
  <c r="K545" i="3"/>
  <c r="A546" i="3"/>
  <c r="B546" i="3"/>
  <c r="C546" i="3"/>
  <c r="D546" i="3"/>
  <c r="E546" i="3" s="1"/>
  <c r="G546" i="3"/>
  <c r="H546" i="3" s="1"/>
  <c r="J546" i="3"/>
  <c r="K546" i="3"/>
  <c r="J547" i="3"/>
  <c r="K547" i="3"/>
  <c r="J548" i="3"/>
  <c r="K548" i="3"/>
  <c r="J549" i="3"/>
  <c r="K549" i="3"/>
  <c r="A550" i="3"/>
  <c r="B550" i="3"/>
  <c r="C550" i="3"/>
  <c r="D550" i="3"/>
  <c r="E550" i="3" s="1"/>
  <c r="G550" i="3"/>
  <c r="H550" i="3" s="1"/>
  <c r="J550" i="3"/>
  <c r="K550" i="3"/>
  <c r="J551" i="3"/>
  <c r="K551" i="3"/>
  <c r="J552" i="3"/>
  <c r="K552" i="3"/>
  <c r="J553" i="3"/>
  <c r="K553" i="3"/>
  <c r="A554" i="3"/>
  <c r="B554" i="3"/>
  <c r="C554" i="3"/>
  <c r="D554" i="3"/>
  <c r="E554" i="3" s="1"/>
  <c r="G554" i="3"/>
  <c r="H554" i="3" s="1"/>
  <c r="J554" i="3"/>
  <c r="K554" i="3"/>
  <c r="J555" i="3"/>
  <c r="K555" i="3"/>
  <c r="J556" i="3"/>
  <c r="K556" i="3"/>
  <c r="J557" i="3"/>
  <c r="K557" i="3"/>
  <c r="A558" i="3"/>
  <c r="B558" i="3"/>
  <c r="C558" i="3"/>
  <c r="D558" i="3"/>
  <c r="E558" i="3" s="1"/>
  <c r="G558" i="3"/>
  <c r="H558" i="3" s="1"/>
  <c r="J558" i="3"/>
  <c r="K558" i="3"/>
  <c r="J559" i="3"/>
  <c r="K559" i="3"/>
  <c r="J560" i="3"/>
  <c r="K560" i="3"/>
  <c r="J561" i="3"/>
  <c r="K561" i="3"/>
  <c r="A562" i="3"/>
  <c r="B562" i="3"/>
  <c r="C562" i="3"/>
  <c r="D562" i="3"/>
  <c r="E562" i="3" s="1"/>
  <c r="G562" i="3"/>
  <c r="H562" i="3" s="1"/>
  <c r="J562" i="3"/>
  <c r="K562" i="3"/>
  <c r="J563" i="3"/>
  <c r="K563" i="3"/>
  <c r="J564" i="3"/>
  <c r="K564" i="3"/>
  <c r="J565" i="3"/>
  <c r="K565" i="3"/>
  <c r="A566" i="3"/>
  <c r="B566" i="3"/>
  <c r="C566" i="3"/>
  <c r="D566" i="3"/>
  <c r="E566" i="3" s="1"/>
  <c r="G566" i="3"/>
  <c r="H566" i="3" s="1"/>
  <c r="J566" i="3"/>
  <c r="K566" i="3"/>
  <c r="J567" i="3"/>
  <c r="K567" i="3"/>
  <c r="J568" i="3"/>
  <c r="K568" i="3"/>
  <c r="J569" i="3"/>
  <c r="K569" i="3"/>
  <c r="A570" i="3"/>
  <c r="B570" i="3"/>
  <c r="C570" i="3"/>
  <c r="D570" i="3"/>
  <c r="E570" i="3" s="1"/>
  <c r="G570" i="3"/>
  <c r="H570" i="3" s="1"/>
  <c r="J570" i="3"/>
  <c r="K570" i="3"/>
  <c r="J571" i="3"/>
  <c r="K571" i="3"/>
  <c r="J572" i="3"/>
  <c r="K572" i="3"/>
  <c r="J573" i="3"/>
  <c r="K573" i="3"/>
  <c r="A574" i="3"/>
  <c r="B574" i="3"/>
  <c r="C574" i="3"/>
  <c r="D574" i="3"/>
  <c r="E574" i="3" s="1"/>
  <c r="G574" i="3"/>
  <c r="H574" i="3" s="1"/>
  <c r="J574" i="3"/>
  <c r="K574" i="3"/>
  <c r="J575" i="3"/>
  <c r="K575" i="3"/>
  <c r="J576" i="3"/>
  <c r="K576" i="3"/>
  <c r="J577" i="3"/>
  <c r="K577" i="3"/>
  <c r="A578" i="3"/>
  <c r="B578" i="3"/>
  <c r="C578" i="3"/>
  <c r="D578" i="3"/>
  <c r="E578" i="3" s="1"/>
  <c r="G578" i="3"/>
  <c r="H578" i="3" s="1"/>
  <c r="J578" i="3"/>
  <c r="K578" i="3"/>
  <c r="J579" i="3"/>
  <c r="K579" i="3"/>
  <c r="J580" i="3"/>
  <c r="K580" i="3"/>
  <c r="J581" i="3"/>
  <c r="K581" i="3"/>
  <c r="A582" i="3"/>
  <c r="B582" i="3"/>
  <c r="C582" i="3"/>
  <c r="D582" i="3"/>
  <c r="E582" i="3" s="1"/>
  <c r="G582" i="3"/>
  <c r="H582" i="3" s="1"/>
  <c r="J582" i="3"/>
  <c r="K582" i="3"/>
  <c r="J583" i="3"/>
  <c r="K583" i="3"/>
  <c r="J584" i="3"/>
  <c r="K584" i="3"/>
  <c r="J585" i="3"/>
  <c r="K585" i="3"/>
  <c r="A586" i="3"/>
  <c r="B586" i="3"/>
  <c r="C586" i="3"/>
  <c r="D586" i="3"/>
  <c r="E586" i="3" s="1"/>
  <c r="G586" i="3"/>
  <c r="H586" i="3" s="1"/>
  <c r="J586" i="3"/>
  <c r="K586" i="3"/>
  <c r="J587" i="3"/>
  <c r="K587" i="3"/>
  <c r="J588" i="3"/>
  <c r="K588" i="3"/>
  <c r="J589" i="3"/>
  <c r="K589" i="3"/>
  <c r="A590" i="3"/>
  <c r="B590" i="3"/>
  <c r="C590" i="3"/>
  <c r="D590" i="3"/>
  <c r="E590" i="3" s="1"/>
  <c r="G590" i="3"/>
  <c r="H590" i="3" s="1"/>
  <c r="J590" i="3"/>
  <c r="K590" i="3"/>
  <c r="J591" i="3"/>
  <c r="K591" i="3"/>
  <c r="J592" i="3"/>
  <c r="K592" i="3"/>
  <c r="J593" i="3"/>
  <c r="K593" i="3"/>
  <c r="A594" i="3"/>
  <c r="B594" i="3"/>
  <c r="C594" i="3"/>
  <c r="D594" i="3"/>
  <c r="E594" i="3" s="1"/>
  <c r="G594" i="3"/>
  <c r="H594" i="3" s="1"/>
  <c r="J594" i="3"/>
  <c r="K594" i="3"/>
  <c r="J595" i="3"/>
  <c r="K595" i="3"/>
  <c r="J596" i="3"/>
  <c r="K596" i="3"/>
  <c r="J597" i="3"/>
  <c r="K597" i="3"/>
  <c r="A598" i="3"/>
  <c r="B598" i="3"/>
  <c r="C598" i="3"/>
  <c r="D598" i="3"/>
  <c r="E598" i="3" s="1"/>
  <c r="G598" i="3"/>
  <c r="H598" i="3" s="1"/>
  <c r="J598" i="3"/>
  <c r="K598" i="3"/>
  <c r="J599" i="3"/>
  <c r="K599" i="3"/>
  <c r="J600" i="3"/>
  <c r="K600" i="3"/>
  <c r="J601" i="3"/>
  <c r="K601" i="3"/>
  <c r="A602" i="3"/>
  <c r="B602" i="3"/>
  <c r="C602" i="3"/>
  <c r="D602" i="3"/>
  <c r="E602" i="3" s="1"/>
  <c r="G602" i="3"/>
  <c r="H602" i="3" s="1"/>
  <c r="J602" i="3"/>
  <c r="K602" i="3"/>
  <c r="J603" i="3"/>
  <c r="K603" i="3"/>
  <c r="J604" i="3"/>
  <c r="K604" i="3"/>
  <c r="J605" i="3"/>
  <c r="K605" i="3"/>
  <c r="A606" i="3"/>
  <c r="B606" i="3"/>
  <c r="C606" i="3"/>
  <c r="D606" i="3"/>
  <c r="E606" i="3" s="1"/>
  <c r="G606" i="3"/>
  <c r="H606" i="3" s="1"/>
  <c r="J606" i="3"/>
  <c r="K606" i="3"/>
  <c r="J607" i="3"/>
  <c r="K607" i="3"/>
  <c r="J608" i="3"/>
  <c r="K608" i="3"/>
  <c r="J609" i="3"/>
  <c r="K609" i="3"/>
  <c r="A610" i="3"/>
  <c r="B610" i="3"/>
  <c r="C610" i="3"/>
  <c r="D610" i="3"/>
  <c r="E610" i="3" s="1"/>
  <c r="G610" i="3"/>
  <c r="H610" i="3" s="1"/>
  <c r="J610" i="3"/>
  <c r="K610" i="3"/>
  <c r="J611" i="3"/>
  <c r="K611" i="3"/>
  <c r="J612" i="3"/>
  <c r="K612" i="3"/>
  <c r="J613" i="3"/>
  <c r="K613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740460-8054-4364-94AB-D175219CB4CB}" keepAlive="1" name="ThisWorkbookDataModel" description="Modèle de données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A0DE11BC-62AB-4F52-A2E8-A9190CB1F0AF}" name="WorksheetConnection_Suivis Matière Première 2025-2026.xlsx!Mp" type="102" refreshedVersion="8" minRefreshableVersion="5">
    <extLst>
      <ext xmlns:x15="http://schemas.microsoft.com/office/spreadsheetml/2010/11/main" uri="{DE250136-89BD-433C-8126-D09CA5730AF9}">
        <x15:connection id="Mp">
          <x15:rangePr sourceName="_xlcn.WorksheetConnection_SuivisMatièrePremière20252026.xlsxMp1"/>
        </x15:connection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2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3"/>
        </ext>
      </extLst>
    </bk>
    <bk>
      <extLst>
        <ext uri="{3e2802c4-a4d2-4d8b-9148-e3be6c30e623}">
          <xlrd:rvb i="194"/>
        </ext>
      </extLst>
    </bk>
    <bk>
      <extLst>
        <ext uri="{3e2802c4-a4d2-4d8b-9148-e3be6c30e623}">
          <xlrd:rvb i="195"/>
        </ext>
      </extLst>
    </bk>
    <bk>
      <extLst>
        <ext uri="{3e2802c4-a4d2-4d8b-9148-e3be6c30e623}">
          <xlrd:rvb i="196"/>
        </ext>
      </extLst>
    </bk>
    <bk>
      <extLst>
        <ext uri="{3e2802c4-a4d2-4d8b-9148-e3be6c30e623}">
          <xlrd:rvb i="197"/>
        </ext>
      </extLst>
    </bk>
    <bk>
      <extLst>
        <ext uri="{3e2802c4-a4d2-4d8b-9148-e3be6c30e623}">
          <xlrd:rvb i="198"/>
        </ext>
      </extLst>
    </bk>
    <bk>
      <extLst>
        <ext uri="{3e2802c4-a4d2-4d8b-9148-e3be6c30e623}">
          <xlrd:rvb i="199"/>
        </ext>
      </extLst>
    </bk>
    <bk>
      <extLst>
        <ext uri="{3e2802c4-a4d2-4d8b-9148-e3be6c30e623}">
          <xlrd:rvb i="200"/>
        </ext>
      </extLst>
    </bk>
    <bk>
      <extLst>
        <ext uri="{3e2802c4-a4d2-4d8b-9148-e3be6c30e623}">
          <xlrd:rvb i="201"/>
        </ext>
      </extLst>
    </bk>
    <bk>
      <extLst>
        <ext uri="{3e2802c4-a4d2-4d8b-9148-e3be6c30e623}">
          <xlrd:rvb i="202"/>
        </ext>
      </extLst>
    </bk>
    <bk>
      <extLst>
        <ext uri="{3e2802c4-a4d2-4d8b-9148-e3be6c30e623}">
          <xlrd:rvb i="203"/>
        </ext>
      </extLst>
    </bk>
    <bk>
      <extLst>
        <ext uri="{3e2802c4-a4d2-4d8b-9148-e3be6c30e623}">
          <xlrd:rvb i="204"/>
        </ext>
      </extLst>
    </bk>
    <bk>
      <extLst>
        <ext uri="{3e2802c4-a4d2-4d8b-9148-e3be6c30e623}">
          <xlrd:rvb i="205"/>
        </ext>
      </extLst>
    </bk>
    <bk>
      <extLst>
        <ext uri="{3e2802c4-a4d2-4d8b-9148-e3be6c30e623}">
          <xlrd:rvb i="206"/>
        </ext>
      </extLst>
    </bk>
    <bk>
      <extLst>
        <ext uri="{3e2802c4-a4d2-4d8b-9148-e3be6c30e623}">
          <xlrd:rvb i="207"/>
        </ext>
      </extLst>
    </bk>
    <bk>
      <extLst>
        <ext uri="{3e2802c4-a4d2-4d8b-9148-e3be6c30e623}">
          <xlrd:rvb i="208"/>
        </ext>
      </extLst>
    </bk>
    <bk>
      <extLst>
        <ext uri="{3e2802c4-a4d2-4d8b-9148-e3be6c30e623}">
          <xlrd:rvb i="209"/>
        </ext>
      </extLst>
    </bk>
    <bk>
      <extLst>
        <ext uri="{3e2802c4-a4d2-4d8b-9148-e3be6c30e623}">
          <xlrd:rvb i="210"/>
        </ext>
      </extLst>
    </bk>
    <bk>
      <extLst>
        <ext uri="{3e2802c4-a4d2-4d8b-9148-e3be6c30e623}">
          <xlrd:rvb i="211"/>
        </ext>
      </extLst>
    </bk>
    <bk>
      <extLst>
        <ext uri="{3e2802c4-a4d2-4d8b-9148-e3be6c30e623}">
          <xlrd:rvb i="212"/>
        </ext>
      </extLst>
    </bk>
    <bk>
      <extLst>
        <ext uri="{3e2802c4-a4d2-4d8b-9148-e3be6c30e623}">
          <xlrd:rvb i="213"/>
        </ext>
      </extLst>
    </bk>
    <bk>
      <extLst>
        <ext uri="{3e2802c4-a4d2-4d8b-9148-e3be6c30e623}">
          <xlrd:rvb i="214"/>
        </ext>
      </extLst>
    </bk>
    <bk>
      <extLst>
        <ext uri="{3e2802c4-a4d2-4d8b-9148-e3be6c30e623}">
          <xlrd:rvb i="215"/>
        </ext>
      </extLst>
    </bk>
    <bk>
      <extLst>
        <ext uri="{3e2802c4-a4d2-4d8b-9148-e3be6c30e623}">
          <xlrd:rvb i="216"/>
        </ext>
      </extLst>
    </bk>
    <bk>
      <extLst>
        <ext uri="{3e2802c4-a4d2-4d8b-9148-e3be6c30e623}">
          <xlrd:rvb i="217"/>
        </ext>
      </extLst>
    </bk>
    <bk>
      <extLst>
        <ext uri="{3e2802c4-a4d2-4d8b-9148-e3be6c30e623}">
          <xlrd:rvb i="218"/>
        </ext>
      </extLst>
    </bk>
    <bk>
      <extLst>
        <ext uri="{3e2802c4-a4d2-4d8b-9148-e3be6c30e623}">
          <xlrd:rvb i="219"/>
        </ext>
      </extLst>
    </bk>
    <bk>
      <extLst>
        <ext uri="{3e2802c4-a4d2-4d8b-9148-e3be6c30e623}">
          <xlrd:rvb i="220"/>
        </ext>
      </extLst>
    </bk>
    <bk>
      <extLst>
        <ext uri="{3e2802c4-a4d2-4d8b-9148-e3be6c30e623}">
          <xlrd:rvb i="221"/>
        </ext>
      </extLst>
    </bk>
    <bk>
      <extLst>
        <ext uri="{3e2802c4-a4d2-4d8b-9148-e3be6c30e623}">
          <xlrd:rvb i="222"/>
        </ext>
      </extLst>
    </bk>
  </futureMetadata>
  <valueMetadata count="223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</valueMetadata>
</metadata>
</file>

<file path=xl/sharedStrings.xml><?xml version="1.0" encoding="utf-8"?>
<sst xmlns="http://schemas.openxmlformats.org/spreadsheetml/2006/main" count="4451" uniqueCount="433">
  <si>
    <t>Coffret Echarpe Splash</t>
  </si>
  <si>
    <t>Emballage</t>
  </si>
  <si>
    <t xml:space="preserve">Odyssee Poncho Adulte 100% Cotton </t>
  </si>
  <si>
    <t>Hantag</t>
  </si>
  <si>
    <t>Shams Fouta Plate 200/200 Cm 100% Cotton</t>
  </si>
  <si>
    <t>Shams Fouta Plate 100/200 Cm 100% Cotton</t>
  </si>
  <si>
    <t>Shams Fouta Eponge 100% Cotton</t>
  </si>
  <si>
    <t>Carton 40/30/30 Cm</t>
  </si>
  <si>
    <t>Carton 40/60/20 Cm</t>
  </si>
  <si>
    <t>Carton 40/60/40 Cm</t>
  </si>
  <si>
    <t>Scotch Polybag</t>
  </si>
  <si>
    <t xml:space="preserve">Scotch Havane </t>
  </si>
  <si>
    <t>Film Pour Palette</t>
  </si>
  <si>
    <t>Artisanat Tunisien 50% Lain 48% Cotton 2% Polyster</t>
  </si>
  <si>
    <t>Etiquette</t>
  </si>
  <si>
    <t>Artisanat Tunisien 60 % Cotton 40% Polyster</t>
  </si>
  <si>
    <t>Artisanat Tunisien 100% Cotton</t>
  </si>
  <si>
    <t>Ilouna 90% Cotton 10% Autre Fibre</t>
  </si>
  <si>
    <t>Jacques Ferry Conseil de Lavage 100% Cotton</t>
  </si>
  <si>
    <t>Collection Chloé 100% Cotton</t>
  </si>
  <si>
    <t>Emoi émoi 100% Cotton</t>
  </si>
  <si>
    <t>Cotton Flowers 100% Cotton</t>
  </si>
  <si>
    <t>Laulina 100% Cotton</t>
  </si>
  <si>
    <t>Laulina 90% Cotton 10% Polystere</t>
  </si>
  <si>
    <t>Laulina 98% Cotton 2% Polystere</t>
  </si>
  <si>
    <t>Fouta Artisanat Tunisien 100% Cotton</t>
  </si>
  <si>
    <t>La Sultane Du Bassin 100% Cotton</t>
  </si>
  <si>
    <t>Ruban Fouta Ilouna Tissage ND</t>
  </si>
  <si>
    <t>Ruban</t>
  </si>
  <si>
    <t>Ruban Fouta Ilouna Tissage Plat</t>
  </si>
  <si>
    <t>Ruban Torchon Cotton Flowers</t>
  </si>
  <si>
    <t>Ruban Torchon ALL BY FOUTA</t>
  </si>
  <si>
    <t>Nos Fouta Monastir</t>
  </si>
  <si>
    <t>Nos Fouta Mahdia</t>
  </si>
  <si>
    <t>Nos Fouta Bizerte</t>
  </si>
  <si>
    <t>Sud Ouest 100% Cotton</t>
  </si>
  <si>
    <t>All by fouta 70% Lin 30% Cotton</t>
  </si>
  <si>
    <t>Vent Du Sud 100% Cotton</t>
  </si>
  <si>
    <t>Lagon Bleu 100% Cotton</t>
  </si>
  <si>
    <t>Sofra 100% Cotton</t>
  </si>
  <si>
    <t>Lili 100 % Cotton</t>
  </si>
  <si>
    <t>Smart Collection 100% Cotton</t>
  </si>
  <si>
    <t>Polybag 120/75 cm</t>
  </si>
  <si>
    <t>Polybag</t>
  </si>
  <si>
    <t>Polybag 60/40 cm</t>
  </si>
  <si>
    <t>Polybag 45/30 cm</t>
  </si>
  <si>
    <t>Kamoa 100% Cotton</t>
  </si>
  <si>
    <t>Les Sauveurs En Mer 100 % Cotton</t>
  </si>
  <si>
    <t>CSE CPAM 44</t>
  </si>
  <si>
    <t>Cotim 100% Cotton</t>
  </si>
  <si>
    <t>CSE HSTV 100 % Cotton</t>
  </si>
  <si>
    <t>South West 100% Cotton</t>
  </si>
  <si>
    <t>BE My Self 100% Cotton</t>
  </si>
  <si>
    <t>BY S  100% Cotton Couleur Gris</t>
  </si>
  <si>
    <t>DELIKTESS 100% Cotton</t>
  </si>
  <si>
    <t>Cottonade  100 % Cotton</t>
  </si>
  <si>
    <t>Charme D'orient 100% Cotton</t>
  </si>
  <si>
    <t>Corsica 100% Cotton</t>
  </si>
  <si>
    <t>Mac Ferry 100% Cotton</t>
  </si>
  <si>
    <t>Splash 100% Cotton</t>
  </si>
  <si>
    <t>Mary Kay 100 % Cotton</t>
  </si>
  <si>
    <t>Fouta Pro 100 % Cotton</t>
  </si>
  <si>
    <t>All by fouta 100% Cotton</t>
  </si>
  <si>
    <t>Bobine Noir</t>
  </si>
  <si>
    <t>Couture</t>
  </si>
  <si>
    <t>Bobine Blanche</t>
  </si>
  <si>
    <t>Libele</t>
  </si>
  <si>
    <t>Type</t>
  </si>
  <si>
    <t>Usine</t>
  </si>
  <si>
    <t>S2023</t>
  </si>
  <si>
    <t>LuDo</t>
  </si>
  <si>
    <t>LUREX DORE</t>
  </si>
  <si>
    <t>NM50</t>
  </si>
  <si>
    <t>E3</t>
  </si>
  <si>
    <t>E2</t>
  </si>
  <si>
    <t>E1</t>
  </si>
  <si>
    <t>LuAr</t>
  </si>
  <si>
    <t>LUREX ARGENT</t>
  </si>
  <si>
    <t>S2018</t>
  </si>
  <si>
    <t>NM20-LinM</t>
  </si>
  <si>
    <t>LinM</t>
  </si>
  <si>
    <t>LIN Moyen</t>
  </si>
  <si>
    <t>NM20</t>
  </si>
  <si>
    <t>NM20-LinF</t>
  </si>
  <si>
    <t>LinF</t>
  </si>
  <si>
    <t>LIN Fonce</t>
  </si>
  <si>
    <t>NM20-LinC</t>
  </si>
  <si>
    <t>LinC</t>
  </si>
  <si>
    <t>LIN Claire</t>
  </si>
  <si>
    <t>400722.5</t>
  </si>
  <si>
    <t>CH2/50PN</t>
  </si>
  <si>
    <t>CH</t>
  </si>
  <si>
    <t>Noir</t>
  </si>
  <si>
    <t>NM2/50</t>
  </si>
  <si>
    <t>A221030545/2</t>
  </si>
  <si>
    <t>CH2/50CE</t>
  </si>
  <si>
    <t>Ecru</t>
  </si>
  <si>
    <t>A220324523/2</t>
  </si>
  <si>
    <t>CH2/40CE</t>
  </si>
  <si>
    <t>NM2/40</t>
  </si>
  <si>
    <t>NM15-34.00</t>
  </si>
  <si>
    <t>C34</t>
  </si>
  <si>
    <t>VIOLET</t>
  </si>
  <si>
    <t>NM15</t>
  </si>
  <si>
    <t>NM15-33.00</t>
  </si>
  <si>
    <t>C33</t>
  </si>
  <si>
    <t>LILA</t>
  </si>
  <si>
    <t>S2022</t>
  </si>
  <si>
    <t>NM20-32-02</t>
  </si>
  <si>
    <t>C32</t>
  </si>
  <si>
    <t>ROSE PALE</t>
  </si>
  <si>
    <t>NM15-32.02</t>
  </si>
  <si>
    <t>ROSE BB</t>
  </si>
  <si>
    <t>NM15-32.00</t>
  </si>
  <si>
    <t>VIEUX ROSE</t>
  </si>
  <si>
    <t>NM10-32.00</t>
  </si>
  <si>
    <t>NM10</t>
  </si>
  <si>
    <t>NM05-32.02</t>
  </si>
  <si>
    <t>ROSE CLAIR</t>
  </si>
  <si>
    <t>NM05</t>
  </si>
  <si>
    <t>NM05-32.01</t>
  </si>
  <si>
    <t>ROSE LOTUS</t>
  </si>
  <si>
    <t>NM05-32.00</t>
  </si>
  <si>
    <t>NM15-31.00</t>
  </si>
  <si>
    <t>C31</t>
  </si>
  <si>
    <t>SAUMON</t>
  </si>
  <si>
    <t>NM15-30.00</t>
  </si>
  <si>
    <t>C30</t>
  </si>
  <si>
    <t>PRALINE</t>
  </si>
  <si>
    <t>NM20-29.01</t>
  </si>
  <si>
    <t>C29</t>
  </si>
  <si>
    <t>FUSHIA</t>
  </si>
  <si>
    <t>NM15-29.01</t>
  </si>
  <si>
    <t>NM15-29.00</t>
  </si>
  <si>
    <t>NM15-28.01</t>
  </si>
  <si>
    <t>C28</t>
  </si>
  <si>
    <t>FRAMBOISE</t>
  </si>
  <si>
    <t>NM15-28.00</t>
  </si>
  <si>
    <t>NM15-27.01</t>
  </si>
  <si>
    <t>C27</t>
  </si>
  <si>
    <t>ROUGE BORDEAU</t>
  </si>
  <si>
    <t>NM15-27.00</t>
  </si>
  <si>
    <t>NM07/2-27.00</t>
  </si>
  <si>
    <t>NM07</t>
  </si>
  <si>
    <t>NM15-26.00</t>
  </si>
  <si>
    <t>C26</t>
  </si>
  <si>
    <t>ROUGE FERRARI</t>
  </si>
  <si>
    <t>NM05-26.00</t>
  </si>
  <si>
    <t>NM20-25.01</t>
  </si>
  <si>
    <t>C25</t>
  </si>
  <si>
    <t>ORANGE</t>
  </si>
  <si>
    <t>NM15-25.01</t>
  </si>
  <si>
    <t>NM15-25.00</t>
  </si>
  <si>
    <t>NM15-24.01</t>
  </si>
  <si>
    <t>C24</t>
  </si>
  <si>
    <t>JAUNE SAFRAN</t>
  </si>
  <si>
    <t>NM15-24.00</t>
  </si>
  <si>
    <t>NM20-23.00</t>
  </si>
  <si>
    <t>C23</t>
  </si>
  <si>
    <t>JAUNE</t>
  </si>
  <si>
    <t>NM15-23.00</t>
  </si>
  <si>
    <t>OR</t>
  </si>
  <si>
    <t>NM20-22.01</t>
  </si>
  <si>
    <t>C22</t>
  </si>
  <si>
    <t>JAUNE CITRON</t>
  </si>
  <si>
    <t>NM15-22.01</t>
  </si>
  <si>
    <t>NM15-22.00</t>
  </si>
  <si>
    <t>JAUNE FLUO</t>
  </si>
  <si>
    <t>NM15-21.02</t>
  </si>
  <si>
    <t>C21</t>
  </si>
  <si>
    <t>VERT PISTACHE</t>
  </si>
  <si>
    <t>NM15-21.01</t>
  </si>
  <si>
    <t>NM15-21.00</t>
  </si>
  <si>
    <t>NM10-21.01</t>
  </si>
  <si>
    <t>KAKI</t>
  </si>
  <si>
    <t>S2024</t>
  </si>
  <si>
    <t>NM34-20.01</t>
  </si>
  <si>
    <t>C20</t>
  </si>
  <si>
    <t>VERT OLIVE</t>
  </si>
  <si>
    <t>NM34</t>
  </si>
  <si>
    <t>NM15-20.01</t>
  </si>
  <si>
    <t>NM15-20.00</t>
  </si>
  <si>
    <t>NM05-20.02</t>
  </si>
  <si>
    <t>NM34-19.01</t>
  </si>
  <si>
    <t>C19</t>
  </si>
  <si>
    <t>NM15-19.01</t>
  </si>
  <si>
    <t>NM15-19.00</t>
  </si>
  <si>
    <t>CEDRE</t>
  </si>
  <si>
    <t>NM15.19.02</t>
  </si>
  <si>
    <t>KAKI CLAIRE</t>
  </si>
  <si>
    <t>NM15-18.01</t>
  </si>
  <si>
    <t>C18</t>
  </si>
  <si>
    <t>VERT D'EAU CLAIR</t>
  </si>
  <si>
    <t>NM15-18.00</t>
  </si>
  <si>
    <t xml:space="preserve">VERT D'EAU </t>
  </si>
  <si>
    <t>NM05-18.01</t>
  </si>
  <si>
    <t>NM15-17.01</t>
  </si>
  <si>
    <t>C17</t>
  </si>
  <si>
    <t>EMAURAUDE</t>
  </si>
  <si>
    <t>NM15-17.00</t>
  </si>
  <si>
    <t>NM20-16.00</t>
  </si>
  <si>
    <t>C16</t>
  </si>
  <si>
    <t>BLEU CIEL</t>
  </si>
  <si>
    <t>NM15-16.01</t>
  </si>
  <si>
    <t>GLACIER</t>
  </si>
  <si>
    <t>NM15-16.00</t>
  </si>
  <si>
    <t>NM20-15.00</t>
  </si>
  <si>
    <t>C15</t>
  </si>
  <si>
    <t>LAGON</t>
  </si>
  <si>
    <t>NM15-15.00</t>
  </si>
  <si>
    <t>NM20-14.01</t>
  </si>
  <si>
    <t>C14</t>
  </si>
  <si>
    <t>BLEU TURQUOISE</t>
  </si>
  <si>
    <t>NM15-14.00</t>
  </si>
  <si>
    <t>NM05-14.00</t>
  </si>
  <si>
    <t>TURQUOISE</t>
  </si>
  <si>
    <t>NM20-13.00</t>
  </si>
  <si>
    <t>C13</t>
  </si>
  <si>
    <t>BLEU ROI</t>
  </si>
  <si>
    <t>NM15-13.00</t>
  </si>
  <si>
    <t>NM34-12.00</t>
  </si>
  <si>
    <t>C12</t>
  </si>
  <si>
    <t>BLEU DELAVE</t>
  </si>
  <si>
    <t>NM20-12.01</t>
  </si>
  <si>
    <t>BLEU JEANS</t>
  </si>
  <si>
    <t>NM20-12.00</t>
  </si>
  <si>
    <t>NM15-12.00</t>
  </si>
  <si>
    <t>BLEU DJEAN</t>
  </si>
  <si>
    <t>NM12.2-12.00</t>
  </si>
  <si>
    <t>NM12/2</t>
  </si>
  <si>
    <t>NM05-12.00</t>
  </si>
  <si>
    <t>NM15-11.01</t>
  </si>
  <si>
    <t>C11</t>
  </si>
  <si>
    <t>BLEU GITANE</t>
  </si>
  <si>
    <t>NM15-11.00</t>
  </si>
  <si>
    <t>NM15-10.00</t>
  </si>
  <si>
    <t>C10</t>
  </si>
  <si>
    <t>BLEU MARINE</t>
  </si>
  <si>
    <t>NM15-09.00</t>
  </si>
  <si>
    <t>C09</t>
  </si>
  <si>
    <t>NOIR</t>
  </si>
  <si>
    <t>NM14-09.00</t>
  </si>
  <si>
    <t>NM14</t>
  </si>
  <si>
    <t>NM10-09.00</t>
  </si>
  <si>
    <t>BLEU NUIT</t>
  </si>
  <si>
    <t>NM07-09.00</t>
  </si>
  <si>
    <t>NM05-09.00</t>
  </si>
  <si>
    <t>NM20-08.00</t>
  </si>
  <si>
    <t>C08</t>
  </si>
  <si>
    <t>GRIS ANTHRACITE</t>
  </si>
  <si>
    <t>NM15-08.00</t>
  </si>
  <si>
    <t>NM10-08.00</t>
  </si>
  <si>
    <t>NM15-07.01</t>
  </si>
  <si>
    <t>C07</t>
  </si>
  <si>
    <t>GRIS MOYEN</t>
  </si>
  <si>
    <t>NM15-07.00</t>
  </si>
  <si>
    <t>NM12-07.00</t>
  </si>
  <si>
    <t>NM12</t>
  </si>
  <si>
    <t>NM05-07.00</t>
  </si>
  <si>
    <t>GRIS METELIQUE</t>
  </si>
  <si>
    <t>NM15-06.00</t>
  </si>
  <si>
    <t>C06</t>
  </si>
  <si>
    <t>GRIS CLAIR</t>
  </si>
  <si>
    <t>NM14-06.00</t>
  </si>
  <si>
    <t>NM12.02-06.00</t>
  </si>
  <si>
    <t>NM05-06.00</t>
  </si>
  <si>
    <t>NM34-05.00</t>
  </si>
  <si>
    <t>C05</t>
  </si>
  <si>
    <t>MARRON</t>
  </si>
  <si>
    <t>NM15-05.02</t>
  </si>
  <si>
    <t>NM15-05.01</t>
  </si>
  <si>
    <t>TERRA</t>
  </si>
  <si>
    <t>NM15-05.00</t>
  </si>
  <si>
    <t>NM10-05.00</t>
  </si>
  <si>
    <t>NM05-05.00</t>
  </si>
  <si>
    <t>NM34-04.00</t>
  </si>
  <si>
    <t>C04</t>
  </si>
  <si>
    <t>TAUPE</t>
  </si>
  <si>
    <t>NM15-04.02</t>
  </si>
  <si>
    <t>BRUN</t>
  </si>
  <si>
    <t>NM15-04.01</t>
  </si>
  <si>
    <t>NATUREL</t>
  </si>
  <si>
    <t>NM15-04.00</t>
  </si>
  <si>
    <t>NM10-04.01</t>
  </si>
  <si>
    <t>NM05-04.02</t>
  </si>
  <si>
    <t>NM05-04.00</t>
  </si>
  <si>
    <t>NM34-03.00</t>
  </si>
  <si>
    <t>C03</t>
  </si>
  <si>
    <t>BEIGE CLAIRE</t>
  </si>
  <si>
    <t>NM15-03.01</t>
  </si>
  <si>
    <t xml:space="preserve">BEIGE </t>
  </si>
  <si>
    <t>NM15-03.00</t>
  </si>
  <si>
    <t>NM05-03.03</t>
  </si>
  <si>
    <t>BEIGE CLAIR</t>
  </si>
  <si>
    <t>NM05-03.02</t>
  </si>
  <si>
    <t>NM05-03.01</t>
  </si>
  <si>
    <t>NM05-03.00</t>
  </si>
  <si>
    <t>NM34-02.00</t>
  </si>
  <si>
    <t>C02</t>
  </si>
  <si>
    <t>ECRU</t>
  </si>
  <si>
    <t>NM20-02.00</t>
  </si>
  <si>
    <t>NM15-02.00</t>
  </si>
  <si>
    <t>NM12-02.00</t>
  </si>
  <si>
    <t>NM10-02.00</t>
  </si>
  <si>
    <t>NM05-02.01</t>
  </si>
  <si>
    <t>NM05-02.00</t>
  </si>
  <si>
    <t>NM15-01.00</t>
  </si>
  <si>
    <t>C01</t>
  </si>
  <si>
    <t>BLANC</t>
  </si>
  <si>
    <t>NM05-01.00</t>
  </si>
  <si>
    <t>Sortis</t>
  </si>
  <si>
    <t>Entrée</t>
  </si>
  <si>
    <t>Entrepot</t>
  </si>
  <si>
    <t>Num de Lot</t>
  </si>
  <si>
    <t>CODE FAB</t>
  </si>
  <si>
    <t>CODE COM</t>
  </si>
  <si>
    <t>COULEUR</t>
  </si>
  <si>
    <t>NUMERO METRIQUE</t>
  </si>
  <si>
    <t>ECHANTILLON</t>
  </si>
  <si>
    <t>POSITION</t>
  </si>
  <si>
    <t>QR CODE NUM LOT</t>
  </si>
  <si>
    <t>Colonne1</t>
  </si>
  <si>
    <t>QR CODE CODE FAB</t>
  </si>
  <si>
    <t>A220630553/2</t>
  </si>
  <si>
    <t>A220430552/2</t>
  </si>
  <si>
    <t>405822.2</t>
  </si>
  <si>
    <t>CH2/50PB</t>
  </si>
  <si>
    <t>Blanc</t>
  </si>
  <si>
    <t>CH2/50VB</t>
  </si>
  <si>
    <t>NM15-32.01</t>
  </si>
  <si>
    <t>NM15-14.01</t>
  </si>
  <si>
    <t>NM15-04.03</t>
  </si>
  <si>
    <t>NM10-03.01</t>
  </si>
  <si>
    <t>BEIGE</t>
  </si>
  <si>
    <t>NM10-03.00</t>
  </si>
  <si>
    <t>BEIGE CREME</t>
  </si>
  <si>
    <t>NM05-03.04</t>
  </si>
  <si>
    <t>BEIGE KALK</t>
  </si>
  <si>
    <t>NM30-01.00</t>
  </si>
  <si>
    <t>NM30</t>
  </si>
  <si>
    <t>NM20-01.00</t>
  </si>
  <si>
    <t>NM12-01.00</t>
  </si>
  <si>
    <t>Total</t>
  </si>
  <si>
    <t>Poids Usine</t>
  </si>
  <si>
    <t>Coffret Echarpe All By Fouta</t>
  </si>
  <si>
    <t xml:space="preserve">Coffret </t>
  </si>
  <si>
    <t>INVENTAIRE</t>
  </si>
  <si>
    <t>Stock</t>
  </si>
  <si>
    <t>CLuAr</t>
  </si>
  <si>
    <t>CLuDo</t>
  </si>
  <si>
    <t>CLin</t>
  </si>
  <si>
    <t>CODE COLEUR</t>
  </si>
  <si>
    <t>61424</t>
  </si>
  <si>
    <t>Référence</t>
  </si>
  <si>
    <t>BB</t>
  </si>
  <si>
    <t>BN</t>
  </si>
  <si>
    <t>TABF100C</t>
  </si>
  <si>
    <t>TCF100C</t>
  </si>
  <si>
    <t>TMF100M</t>
  </si>
  <si>
    <t>TCD100C</t>
  </si>
  <si>
    <t>TSW100S</t>
  </si>
  <si>
    <t>TCC100C</t>
  </si>
  <si>
    <t>TFP100C</t>
  </si>
  <si>
    <t>TSC100C</t>
  </si>
  <si>
    <t>TLB100C</t>
  </si>
  <si>
    <t>TMK100C</t>
  </si>
  <si>
    <t>TSP100C</t>
  </si>
  <si>
    <t>TCO100C</t>
  </si>
  <si>
    <t>TKA100C</t>
  </si>
  <si>
    <t>TBYS100C</t>
  </si>
  <si>
    <t>TCP100C</t>
  </si>
  <si>
    <t>TDEL100C</t>
  </si>
  <si>
    <t>TBEM100M</t>
  </si>
  <si>
    <t>TCSE100 C</t>
  </si>
  <si>
    <t>TCSEPAM100C</t>
  </si>
  <si>
    <t>TLSEM100C</t>
  </si>
  <si>
    <t>P4530</t>
  </si>
  <si>
    <t>P6040</t>
  </si>
  <si>
    <t>P12075</t>
  </si>
  <si>
    <t>TL100C</t>
  </si>
  <si>
    <t>TSOF100C</t>
  </si>
  <si>
    <t>TVDS100C</t>
  </si>
  <si>
    <t>TABF70L30C</t>
  </si>
  <si>
    <t>ISOF100C</t>
  </si>
  <si>
    <t>CBIZ</t>
  </si>
  <si>
    <t>CMAH</t>
  </si>
  <si>
    <t>CMON</t>
  </si>
  <si>
    <t>TORABF</t>
  </si>
  <si>
    <t>TORCF</t>
  </si>
  <si>
    <t>FILOPLAT</t>
  </si>
  <si>
    <t>FILOND</t>
  </si>
  <si>
    <t>ISDB100C</t>
  </si>
  <si>
    <t>IAT100C</t>
  </si>
  <si>
    <t>ILAU98C2P</t>
  </si>
  <si>
    <t>ILAU90C10P</t>
  </si>
  <si>
    <t>ILAU100C</t>
  </si>
  <si>
    <t>ICF100C</t>
  </si>
  <si>
    <t>TEME100C</t>
  </si>
  <si>
    <t>IJF100C</t>
  </si>
  <si>
    <t>IILO90C10A</t>
  </si>
  <si>
    <t>IATD100C</t>
  </si>
  <si>
    <t>IAT60C40P</t>
  </si>
  <si>
    <t>IAT50L48C2P</t>
  </si>
  <si>
    <t>FILP</t>
  </si>
  <si>
    <t>SCOHAV</t>
  </si>
  <si>
    <t>SCOPOLY</t>
  </si>
  <si>
    <t>CAR464</t>
  </si>
  <si>
    <t>CAR462</t>
  </si>
  <si>
    <t>CAR433</t>
  </si>
  <si>
    <t>All By Fouta Collection Code A barre vide</t>
  </si>
  <si>
    <t>CABFSCOD</t>
  </si>
  <si>
    <t>CODPON</t>
  </si>
  <si>
    <t>COFECHSP</t>
  </si>
  <si>
    <t>COFECHABF</t>
  </si>
  <si>
    <t>COFJETABF</t>
  </si>
  <si>
    <t>CSHAEP031</t>
  </si>
  <si>
    <t>CSHAM2020C</t>
  </si>
  <si>
    <t>CSHAM1020C</t>
  </si>
  <si>
    <t>Prix Achat</t>
  </si>
  <si>
    <t>Valeur</t>
  </si>
  <si>
    <t>QR Fourniture</t>
  </si>
  <si>
    <t>Poids E1</t>
  </si>
  <si>
    <t>Poids E2</t>
  </si>
  <si>
    <t>Poids E3</t>
  </si>
  <si>
    <t>Nbr Bobine Usine</t>
  </si>
  <si>
    <t>Nbr Bobine E2</t>
  </si>
  <si>
    <t>Nbr Bobine E1</t>
  </si>
  <si>
    <t>Nbr Bobine E3</t>
  </si>
  <si>
    <t>Numero Metrique</t>
  </si>
  <si>
    <t>QR Mp</t>
  </si>
  <si>
    <t>QR MP</t>
  </si>
  <si>
    <t>Tram</t>
  </si>
  <si>
    <t>Chaine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</si>
</sst>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.000\ [$د.ت.‏-1C01]"/>
  </numFmts>
  <fonts count="2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 tint="4.9989318521683403E-2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sz val="11"/>
      <color theme="1" tint="4.9989318521683403E-2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8"/>
      <color theme="7" tint="-0.249977111117893"/>
      <name val="Aptos Narrow"/>
      <family val="2"/>
      <scheme val="minor"/>
    </font>
    <font>
      <b/>
      <sz val="8"/>
      <color theme="4" tint="0.79998168889431442"/>
      <name val="Aptos Narrow"/>
      <family val="2"/>
      <scheme val="minor"/>
    </font>
    <font>
      <b/>
      <i/>
      <sz val="11"/>
      <color theme="1" tint="4.9989318521683403E-2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sz val="14"/>
      <color theme="1"/>
      <name val="IDAutomationHC39M Free Version"/>
      <family val="1"/>
      <charset val="2"/>
    </font>
    <font>
      <b/>
      <sz val="7"/>
      <color theme="1"/>
      <name val="Aptos Narrow"/>
      <family val="2"/>
      <scheme val="minor"/>
    </font>
    <font>
      <b/>
      <sz val="7"/>
      <name val="Aptos Narrow"/>
      <family val="2"/>
      <scheme val="minor"/>
    </font>
    <font>
      <b/>
      <sz val="7"/>
      <color rgb="FFFF0000"/>
      <name val="Aptos Narrow"/>
      <family val="2"/>
      <scheme val="minor"/>
    </font>
    <font>
      <b/>
      <sz val="36"/>
      <color rgb="FFFF000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6"/>
      <color theme="1"/>
      <name val="IDAutomationHC39M Free Version"/>
      <family val="1"/>
      <charset val="2"/>
    </font>
    <font>
      <b/>
      <sz val="12"/>
      <color theme="1"/>
      <name val="Aptos Narrow"/>
      <family val="2"/>
      <scheme val="minor"/>
    </font>
    <font>
      <b/>
      <sz val="10"/>
      <color theme="1" tint="4.9989318521683403E-2"/>
      <name val="Aptos Narrow"/>
      <family val="2"/>
      <scheme val="minor"/>
    </font>
    <font>
      <b/>
      <i/>
      <sz val="10"/>
      <color theme="1" tint="4.9989318521683403E-2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theme="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theme="1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left"/>
    </xf>
    <xf numFmtId="164" fontId="1" fillId="3" borderId="1" xfId="0" applyNumberFormat="1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5" fillId="0" borderId="7" xfId="0" applyFont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4" borderId="1" xfId="0" applyFont="1" applyFill="1" applyBorder="1" applyAlignment="1">
      <alignment horizontal="left"/>
    </xf>
    <xf numFmtId="164" fontId="1" fillId="4" borderId="1" xfId="0" applyNumberFormat="1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164" fontId="1" fillId="4" borderId="2" xfId="0" applyNumberFormat="1" applyFont="1" applyFill="1" applyBorder="1" applyAlignment="1">
      <alignment horizontal="left"/>
    </xf>
    <xf numFmtId="0" fontId="1" fillId="4" borderId="2" xfId="0" applyFont="1" applyFill="1" applyBorder="1" applyAlignment="1">
      <alignment horizontal="left"/>
    </xf>
    <xf numFmtId="0" fontId="1" fillId="3" borderId="3" xfId="0" applyFont="1" applyFill="1" applyBorder="1" applyAlignment="1">
      <alignment horizontal="left"/>
    </xf>
    <xf numFmtId="164" fontId="1" fillId="3" borderId="20" xfId="0" applyNumberFormat="1" applyFont="1" applyFill="1" applyBorder="1" applyAlignment="1">
      <alignment horizontal="left"/>
    </xf>
    <xf numFmtId="0" fontId="3" fillId="2" borderId="13" xfId="0" applyFont="1" applyFill="1" applyBorder="1" applyAlignment="1">
      <alignment horizontal="center" vertical="center" wrapText="1"/>
    </xf>
    <xf numFmtId="0" fontId="3" fillId="2" borderId="24" xfId="0" applyFont="1" applyFill="1" applyBorder="1" applyAlignment="1">
      <alignment horizontal="center" vertical="center" wrapText="1"/>
    </xf>
    <xf numFmtId="0" fontId="3" fillId="2" borderId="26" xfId="0" applyFont="1" applyFill="1" applyBorder="1" applyAlignment="1">
      <alignment horizontal="center" vertical="center" wrapText="1"/>
    </xf>
    <xf numFmtId="0" fontId="3" fillId="2" borderId="2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textRotation="90" wrapText="1"/>
    </xf>
    <xf numFmtId="0" fontId="8" fillId="2" borderId="25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10" fillId="0" borderId="0" xfId="0" applyFont="1"/>
    <xf numFmtId="0" fontId="11" fillId="0" borderId="4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1" fillId="0" borderId="29" xfId="0" applyFont="1" applyBorder="1" applyAlignment="1">
      <alignment horizontal="center" vertical="center" wrapText="1"/>
    </xf>
    <xf numFmtId="17" fontId="9" fillId="4" borderId="2" xfId="0" applyNumberFormat="1" applyFont="1" applyFill="1" applyBorder="1" applyAlignment="1">
      <alignment horizontal="left"/>
    </xf>
    <xf numFmtId="0" fontId="9" fillId="4" borderId="2" xfId="0" applyFont="1" applyFill="1" applyBorder="1" applyAlignment="1">
      <alignment horizontal="left"/>
    </xf>
    <xf numFmtId="0" fontId="2" fillId="4" borderId="2" xfId="0" applyFont="1" applyFill="1" applyBorder="1" applyAlignment="1">
      <alignment horizontal="left"/>
    </xf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8" fillId="0" borderId="0" xfId="0" applyFont="1"/>
    <xf numFmtId="0" fontId="16" fillId="0" borderId="0" xfId="0" applyFont="1"/>
    <xf numFmtId="0" fontId="17" fillId="0" borderId="0" xfId="0" applyFont="1"/>
    <xf numFmtId="0" fontId="1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 textRotation="180"/>
    </xf>
    <xf numFmtId="0" fontId="20" fillId="0" borderId="0" xfId="0" applyFont="1" applyAlignment="1">
      <alignment horizontal="center" vertical="center" textRotation="180" wrapText="1"/>
    </xf>
    <xf numFmtId="0" fontId="18" fillId="0" borderId="0" xfId="0" applyFont="1" applyAlignment="1">
      <alignment horizontal="center"/>
    </xf>
    <xf numFmtId="0" fontId="1" fillId="0" borderId="0" xfId="0" applyFont="1" applyAlignment="1">
      <alignment horizontal="center" vertical="center" textRotation="180" wrapText="1"/>
    </xf>
    <xf numFmtId="0" fontId="22" fillId="0" borderId="0" xfId="0" applyFont="1" applyAlignment="1">
      <alignment horizontal="center" vertical="center" textRotation="180" wrapText="1"/>
    </xf>
    <xf numFmtId="164" fontId="1" fillId="3" borderId="2" xfId="0" applyNumberFormat="1" applyFont="1" applyFill="1" applyBorder="1" applyAlignment="1">
      <alignment horizontal="left"/>
    </xf>
    <xf numFmtId="164" fontId="1" fillId="0" borderId="1" xfId="0" applyNumberFormat="1" applyFont="1" applyBorder="1" applyAlignment="1">
      <alignment horizontal="left"/>
    </xf>
    <xf numFmtId="164" fontId="1" fillId="0" borderId="20" xfId="0" applyNumberFormat="1" applyFont="1" applyBorder="1" applyAlignment="1">
      <alignment horizontal="left"/>
    </xf>
    <xf numFmtId="164" fontId="1" fillId="0" borderId="2" xfId="0" applyNumberFormat="1" applyFont="1" applyBorder="1" applyAlignment="1">
      <alignment horizontal="left"/>
    </xf>
    <xf numFmtId="49" fontId="1" fillId="3" borderId="1" xfId="0" applyNumberFormat="1" applyFont="1" applyFill="1" applyBorder="1" applyAlignment="1">
      <alignment horizontal="left"/>
    </xf>
    <xf numFmtId="49" fontId="2" fillId="4" borderId="1" xfId="0" applyNumberFormat="1" applyFont="1" applyFill="1" applyBorder="1" applyAlignment="1">
      <alignment horizontal="left"/>
    </xf>
    <xf numFmtId="49" fontId="1" fillId="4" borderId="1" xfId="0" applyNumberFormat="1" applyFont="1" applyFill="1" applyBorder="1" applyAlignment="1">
      <alignment horizontal="left"/>
    </xf>
    <xf numFmtId="49" fontId="2" fillId="3" borderId="1" xfId="0" applyNumberFormat="1" applyFont="1" applyFill="1" applyBorder="1" applyAlignment="1">
      <alignment horizontal="left"/>
    </xf>
    <xf numFmtId="49" fontId="1" fillId="4" borderId="2" xfId="0" applyNumberFormat="1" applyFont="1" applyFill="1" applyBorder="1" applyAlignment="1">
      <alignment horizontal="left"/>
    </xf>
    <xf numFmtId="49" fontId="2" fillId="4" borderId="2" xfId="0" applyNumberFormat="1" applyFont="1" applyFill="1" applyBorder="1" applyAlignment="1">
      <alignment horizontal="left"/>
    </xf>
    <xf numFmtId="0" fontId="3" fillId="2" borderId="4" xfId="0" applyFont="1" applyFill="1" applyBorder="1" applyAlignment="1">
      <alignment horizontal="center" vertical="center" textRotation="90" wrapText="1"/>
    </xf>
    <xf numFmtId="0" fontId="11" fillId="2" borderId="5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165" fontId="1" fillId="0" borderId="20" xfId="0" applyNumberFormat="1" applyFont="1" applyBorder="1" applyAlignment="1">
      <alignment horizontal="left"/>
    </xf>
    <xf numFmtId="165" fontId="1" fillId="0" borderId="1" xfId="0" applyNumberFormat="1" applyFont="1" applyBorder="1" applyAlignment="1">
      <alignment horizontal="left"/>
    </xf>
    <xf numFmtId="165" fontId="1" fillId="0" borderId="2" xfId="0" applyNumberFormat="1" applyFont="1" applyBorder="1" applyAlignment="1">
      <alignment horizontal="left"/>
    </xf>
    <xf numFmtId="0" fontId="4" fillId="0" borderId="13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textRotation="90" wrapText="1"/>
    </xf>
    <xf numFmtId="0" fontId="1" fillId="0" borderId="14" xfId="0" applyFont="1" applyBorder="1" applyAlignment="1">
      <alignment horizontal="center" vertical="center" textRotation="90" wrapText="1"/>
    </xf>
    <xf numFmtId="0" fontId="1" fillId="0" borderId="12" xfId="0" applyFont="1" applyBorder="1" applyAlignment="1">
      <alignment horizontal="center" vertical="center" textRotation="90" wrapText="1"/>
    </xf>
    <xf numFmtId="0" fontId="1" fillId="0" borderId="16" xfId="0" applyFont="1" applyBorder="1" applyAlignment="1">
      <alignment horizontal="center" vertical="center" textRotation="90" wrapText="1"/>
    </xf>
    <xf numFmtId="0" fontId="1" fillId="0" borderId="4" xfId="0" applyFont="1" applyBorder="1" applyAlignment="1">
      <alignment horizontal="center" vertical="center" textRotation="90" wrapText="1"/>
    </xf>
    <xf numFmtId="0" fontId="1" fillId="0" borderId="11" xfId="0" applyFont="1" applyBorder="1" applyAlignment="1">
      <alignment horizontal="center" vertical="center" textRotation="90" wrapText="1"/>
    </xf>
    <xf numFmtId="0" fontId="6" fillId="0" borderId="15" xfId="0" applyFont="1" applyBorder="1" applyAlignment="1">
      <alignment horizontal="right" vertical="center" textRotation="90"/>
    </xf>
    <xf numFmtId="0" fontId="6" fillId="0" borderId="13" xfId="0" applyFont="1" applyBorder="1" applyAlignment="1">
      <alignment horizontal="right" vertical="center" textRotation="90"/>
    </xf>
    <xf numFmtId="0" fontId="6" fillId="0" borderId="6" xfId="0" applyFont="1" applyBorder="1" applyAlignment="1">
      <alignment horizontal="right" vertical="center" textRotation="90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7" fillId="0" borderId="22" xfId="0" applyFont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 wrapText="1"/>
    </xf>
    <xf numFmtId="0" fontId="3" fillId="2" borderId="25" xfId="0" applyFont="1" applyFill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1" fillId="0" borderId="0" xfId="0" applyFont="1" applyAlignment="1">
      <alignment horizontal="left"/>
    </xf>
    <xf numFmtId="49" fontId="14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 vertical="top"/>
    </xf>
    <xf numFmtId="0" fontId="1" fillId="0" borderId="0" xfId="0" applyFont="1" applyAlignment="1">
      <alignment horizontal="left" vertical="center"/>
    </xf>
    <xf numFmtId="0" fontId="1" fillId="4" borderId="0" xfId="0" applyFont="1" applyFill="1" applyAlignment="1">
      <alignment horizontal="left"/>
    </xf>
    <xf numFmtId="0" fontId="21" fillId="0" borderId="0" xfId="0" applyFont="1" applyAlignment="1">
      <alignment horizontal="center" vertical="top"/>
    </xf>
    <xf numFmtId="0" fontId="15" fillId="0" borderId="0" xfId="0" applyFont="1" applyAlignment="1">
      <alignment horizontal="center" vertical="top" shrinkToFit="1"/>
    </xf>
    <xf numFmtId="0" fontId="11" fillId="0" borderId="31" xfId="0" applyFont="1" applyBorder="1" applyAlignment="1">
      <alignment horizontal="center" vertical="center" wrapText="1"/>
    </xf>
    <xf numFmtId="164" fontId="23" fillId="0" borderId="11" xfId="0" applyNumberFormat="1" applyFont="1" applyFill="1" applyBorder="1" applyAlignment="1">
      <alignment horizontal="left"/>
    </xf>
    <xf numFmtId="0" fontId="23" fillId="0" borderId="28" xfId="0" applyFont="1" applyBorder="1" applyAlignment="1">
      <alignment horizontal="left" wrapText="1"/>
    </xf>
    <xf numFmtId="0" fontId="23" fillId="0" borderId="28" xfId="0" applyFont="1" applyBorder="1" applyAlignment="1">
      <alignment horizontal="left"/>
    </xf>
    <xf numFmtId="164" fontId="23" fillId="0" borderId="28" xfId="0" applyNumberFormat="1" applyFont="1" applyBorder="1" applyAlignment="1">
      <alignment horizontal="left"/>
    </xf>
    <xf numFmtId="1" fontId="23" fillId="0" borderId="28" xfId="0" applyNumberFormat="1" applyFont="1" applyBorder="1" applyAlignment="1">
      <alignment horizontal="left"/>
    </xf>
    <xf numFmtId="164" fontId="23" fillId="0" borderId="28" xfId="0" applyNumberFormat="1" applyFont="1" applyFill="1" applyBorder="1" applyAlignment="1">
      <alignment horizontal="left"/>
    </xf>
    <xf numFmtId="1" fontId="24" fillId="0" borderId="28" xfId="0" applyNumberFormat="1" applyFont="1" applyBorder="1" applyAlignment="1">
      <alignment horizontal="left"/>
    </xf>
    <xf numFmtId="0" fontId="23" fillId="5" borderId="28" xfId="0" applyFont="1" applyFill="1" applyBorder="1" applyAlignment="1">
      <alignment horizontal="left" wrapText="1"/>
    </xf>
    <xf numFmtId="0" fontId="23" fillId="5" borderId="28" xfId="0" applyFont="1" applyFill="1" applyBorder="1" applyAlignment="1">
      <alignment horizontal="left"/>
    </xf>
    <xf numFmtId="164" fontId="23" fillId="5" borderId="28" xfId="0" applyNumberFormat="1" applyFont="1" applyFill="1" applyBorder="1" applyAlignment="1">
      <alignment horizontal="left"/>
    </xf>
    <xf numFmtId="1" fontId="23" fillId="5" borderId="28" xfId="0" applyNumberFormat="1" applyFont="1" applyFill="1" applyBorder="1" applyAlignment="1">
      <alignment horizontal="left"/>
    </xf>
    <xf numFmtId="17" fontId="24" fillId="0" borderId="28" xfId="0" applyNumberFormat="1" applyFont="1" applyBorder="1" applyAlignment="1">
      <alignment horizontal="left" wrapText="1"/>
    </xf>
    <xf numFmtId="0" fontId="24" fillId="0" borderId="28" xfId="0" applyFont="1" applyBorder="1" applyAlignment="1">
      <alignment horizontal="left" wrapText="1"/>
    </xf>
    <xf numFmtId="0" fontId="24" fillId="0" borderId="28" xfId="0" applyFont="1" applyBorder="1" applyAlignment="1">
      <alignment horizontal="left"/>
    </xf>
    <xf numFmtId="164" fontId="24" fillId="0" borderId="28" xfId="0" applyNumberFormat="1" applyFont="1" applyBorder="1" applyAlignment="1">
      <alignment horizontal="left"/>
    </xf>
    <xf numFmtId="164" fontId="23" fillId="0" borderId="30" xfId="0" applyNumberFormat="1" applyFont="1" applyFill="1" applyBorder="1" applyAlignment="1">
      <alignment horizontal="left"/>
    </xf>
  </cellXfs>
  <cellStyles count="1">
    <cellStyle name="Normal" xfId="0" builtinId="0"/>
  </cellStyles>
  <dxfs count="6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 tint="4.9989318521683403E-2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 tint="4.9989318521683403E-2"/>
        <name val="Aptos Narrow"/>
        <family val="2"/>
        <scheme val="minor"/>
      </font>
      <numFmt numFmtId="164" formatCode="0.0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double">
          <color indexed="64"/>
        </top>
        <bottom style="double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 tint="4.9989318521683403E-2"/>
        <name val="Aptos Narrow"/>
        <family val="2"/>
        <scheme val="minor"/>
      </font>
      <numFmt numFmtId="164" formatCode="0.0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double">
          <color indexed="64"/>
        </top>
        <bottom style="double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 tint="4.9989318521683403E-2"/>
        <name val="Aptos Narrow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double">
          <color indexed="64"/>
        </top>
        <bottom style="double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 tint="4.9989318521683403E-2"/>
        <name val="Aptos Narrow"/>
        <family val="2"/>
        <scheme val="minor"/>
      </font>
      <numFmt numFmtId="164" formatCode="0.0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double">
          <color indexed="64"/>
        </top>
        <bottom style="double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 tint="4.9989318521683403E-2"/>
        <name val="Aptos Narrow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double">
          <color indexed="64"/>
        </top>
        <bottom style="double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 tint="4.9989318521683403E-2"/>
        <name val="Aptos Narrow"/>
        <family val="2"/>
        <scheme val="minor"/>
      </font>
      <numFmt numFmtId="164" formatCode="0.0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double">
          <color indexed="64"/>
        </top>
        <bottom style="double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 tint="4.9989318521683403E-2"/>
        <name val="Aptos Narrow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double">
          <color indexed="64"/>
        </top>
        <bottom style="double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 tint="4.9989318521683403E-2"/>
        <name val="Aptos Narrow"/>
        <family val="2"/>
        <scheme val="minor"/>
      </font>
      <numFmt numFmtId="164" formatCode="0.0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double">
          <color indexed="64"/>
        </top>
        <bottom style="double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 tint="4.9989318521683403E-2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double">
          <color indexed="64"/>
        </top>
        <bottom style="double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theme="1" tint="4.9989318521683403E-2"/>
        <name val="Aptos Narrow"/>
        <family val="2"/>
        <scheme val="minor"/>
      </font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double">
          <color indexed="64"/>
        </top>
        <bottom style="double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 tint="4.9989318521683403E-2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double">
          <color indexed="64"/>
        </top>
        <bottom style="double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 tint="4.9989318521683403E-2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double">
          <color indexed="64"/>
        </top>
        <bottom style="double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 tint="4.9989318521683403E-2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double">
          <color indexed="64"/>
        </top>
        <bottom style="double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 tint="4.9989318521683403E-2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double">
          <color indexed="64"/>
        </top>
        <bottom style="double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 tint="4.9989318521683403E-2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double">
          <color indexed="64"/>
        </top>
        <bottom style="double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 tint="4.9989318521683403E-2"/>
        <name val="Aptos Narrow"/>
        <family val="2"/>
        <scheme val="minor"/>
      </font>
      <numFmt numFmtId="164" formatCode="0.0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double">
          <color indexed="64"/>
        </top>
        <bottom style="double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double">
          <color indexed="64"/>
        </top>
        <bottom/>
      </border>
    </dxf>
    <dxf>
      <font>
        <b/>
      </font>
      <numFmt numFmtId="164" formatCode="0.0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double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double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double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double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double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double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double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double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double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double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double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double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double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double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bottom" textRotation="0" wrapText="1" indent="0" justifyLastLine="0" shrinkToFit="0" readingOrder="0"/>
      <border diagonalUp="0" diagonalDown="0" outline="0">
        <left/>
        <right style="thin">
          <color indexed="64"/>
        </right>
        <top style="double">
          <color indexed="64"/>
        </top>
        <bottom/>
      </border>
    </dxf>
    <dxf>
      <border outline="0">
        <top style="double">
          <color indexed="64"/>
        </top>
      </border>
    </dxf>
    <dxf>
      <fill>
        <patternFill patternType="none">
          <fgColor indexed="64"/>
          <bgColor auto="1"/>
        </patternFill>
      </fill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double">
          <color indexed="64"/>
        </bottom>
      </border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</font>
      <numFmt numFmtId="164" formatCode="0.0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164" formatCode="0.0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164" formatCode="0.0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164" formatCode="0.0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30" formatCode="@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solid">
          <fgColor theme="4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</font>
      <numFmt numFmtId="165" formatCode="#,##0.000\ [$د.ت.‏-1C01]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165" formatCode="#,##0.000\ [$د.ت.‏-1C01]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theme="4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microsoft.com/office/2017/06/relationships/rdRichValueStructure" Target="richData/rdrichvaluestructure.xml"/><Relationship Id="rId18" Type="http://schemas.openxmlformats.org/officeDocument/2006/relationships/customXml" Target="../customXml/item1.xml"/><Relationship Id="rId26" Type="http://schemas.openxmlformats.org/officeDocument/2006/relationships/customXml" Target="../customXml/item9.xml"/><Relationship Id="rId21" Type="http://schemas.openxmlformats.org/officeDocument/2006/relationships/customXml" Target="../customXml/item4.xml"/><Relationship Id="rId34" Type="http://schemas.openxmlformats.org/officeDocument/2006/relationships/customXml" Target="../customXml/item17.xml"/><Relationship Id="rId7" Type="http://schemas.openxmlformats.org/officeDocument/2006/relationships/connections" Target="connections.xml"/><Relationship Id="rId12" Type="http://schemas.microsoft.com/office/2017/06/relationships/rdRichValue" Target="richData/rdrichvalue.xml"/><Relationship Id="rId17" Type="http://schemas.openxmlformats.org/officeDocument/2006/relationships/calcChain" Target="calcChain.xml"/><Relationship Id="rId25" Type="http://schemas.openxmlformats.org/officeDocument/2006/relationships/customXml" Target="../customXml/item8.xml"/><Relationship Id="rId33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microsoft.com/office/2022/11/relationships/FeaturePropertyBag" Target="featurePropertyBag/featurePropertyBag.xml"/><Relationship Id="rId20" Type="http://schemas.openxmlformats.org/officeDocument/2006/relationships/customXml" Target="../customXml/item3.xml"/><Relationship Id="rId29" Type="http://schemas.openxmlformats.org/officeDocument/2006/relationships/customXml" Target="../customXml/item1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20/07/relationships/rdRichValueWebImage" Target="richData/rdRichValueWebImage.xml"/><Relationship Id="rId24" Type="http://schemas.openxmlformats.org/officeDocument/2006/relationships/customXml" Target="../customXml/item7.xml"/><Relationship Id="rId32" Type="http://schemas.openxmlformats.org/officeDocument/2006/relationships/customXml" Target="../customXml/item15.xml"/><Relationship Id="rId37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powerPivotData" Target="model/item.data"/><Relationship Id="rId23" Type="http://schemas.openxmlformats.org/officeDocument/2006/relationships/customXml" Target="../customXml/item6.xml"/><Relationship Id="rId28" Type="http://schemas.openxmlformats.org/officeDocument/2006/relationships/customXml" Target="../customXml/item11.xml"/><Relationship Id="rId36" Type="http://schemas.openxmlformats.org/officeDocument/2006/relationships/customXml" Target="../customXml/item19.xml"/><Relationship Id="rId10" Type="http://schemas.openxmlformats.org/officeDocument/2006/relationships/sheetMetadata" Target="metadata.xml"/><Relationship Id="rId19" Type="http://schemas.openxmlformats.org/officeDocument/2006/relationships/customXml" Target="../customXml/item2.xml"/><Relationship Id="rId31" Type="http://schemas.openxmlformats.org/officeDocument/2006/relationships/customXml" Target="../customXml/item14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dRichValueTypes" Target="richData/rdRichValueTypes.xml"/><Relationship Id="rId22" Type="http://schemas.openxmlformats.org/officeDocument/2006/relationships/customXml" Target="../customXml/item5.xml"/><Relationship Id="rId27" Type="http://schemas.openxmlformats.org/officeDocument/2006/relationships/customXml" Target="../customXml/item10.xml"/><Relationship Id="rId30" Type="http://schemas.openxmlformats.org/officeDocument/2006/relationships/customXml" Target="../customXml/item13.xml"/><Relationship Id="rId35" Type="http://schemas.openxmlformats.org/officeDocument/2006/relationships/customXml" Target="../customXml/item18.xml"/><Relationship Id="rId8" Type="http://schemas.openxmlformats.org/officeDocument/2006/relationships/styles" Target="styles.xml"/><Relationship Id="rId3" Type="http://schemas.openxmlformats.org/officeDocument/2006/relationships/worksheet" Target="worksheets/sheet3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richData/_rels/rdRichValueWebImage.xml.rels><?xml version="1.0" encoding="UTF-8" standalone="yes"?>
<Relationships xmlns="http://schemas.openxmlformats.org/package/2006/relationships"><Relationship Id="rId117" Type="http://schemas.openxmlformats.org/officeDocument/2006/relationships/hyperlink" Target="https://api.qrserver.com/v1/create-qr-code/?size=100x100&amp;data=NM34-05.00" TargetMode="External"/><Relationship Id="rId299" Type="http://schemas.openxmlformats.org/officeDocument/2006/relationships/hyperlink" Target="https://api.qrserver.com/v1/create-qr-code/?size=100x100&amp;data=NM34-20.01" TargetMode="External"/><Relationship Id="rId21" Type="http://schemas.openxmlformats.org/officeDocument/2006/relationships/hyperlink" Target="https://api.qrserver.com/v1/create-qr-code/?size=100x100&amp;data=60530" TargetMode="External"/><Relationship Id="rId63" Type="http://schemas.openxmlformats.org/officeDocument/2006/relationships/hyperlink" Target="https://api.qrserver.com/v1/create-qr-code/?size=100x100&amp;data=NM15-03.01" TargetMode="External"/><Relationship Id="rId159" Type="http://schemas.openxmlformats.org/officeDocument/2006/relationships/hyperlink" Target="https://api.qrserver.com/v1/create-qr-code/?size=100x100&amp;data=59358" TargetMode="External"/><Relationship Id="rId324" Type="http://schemas.openxmlformats.org/officeDocument/2006/relationships/image" Target="../media/image162.png"/><Relationship Id="rId366" Type="http://schemas.openxmlformats.org/officeDocument/2006/relationships/image" Target="../media/image183.00"/><Relationship Id="rId170" Type="http://schemas.openxmlformats.org/officeDocument/2006/relationships/image" Target="../media/image85.00"/><Relationship Id="rId226" Type="http://schemas.openxmlformats.org/officeDocument/2006/relationships/image" Target="../media/image113.00"/><Relationship Id="rId433" Type="http://schemas.openxmlformats.org/officeDocument/2006/relationships/hyperlink" Target="https://api.qrserver.com/v1/create-qr-code/?size=100x100&amp;data=S2018" TargetMode="External"/><Relationship Id="rId268" Type="http://schemas.openxmlformats.org/officeDocument/2006/relationships/image" Target="../media/image134.png"/><Relationship Id="rId32" Type="http://schemas.openxmlformats.org/officeDocument/2006/relationships/image" Target="../media/image16.png"/><Relationship Id="rId74" Type="http://schemas.openxmlformats.org/officeDocument/2006/relationships/image" Target="../media/image37.png"/><Relationship Id="rId128" Type="http://schemas.openxmlformats.org/officeDocument/2006/relationships/image" Target="../media/image64.png"/><Relationship Id="rId335" Type="http://schemas.openxmlformats.org/officeDocument/2006/relationships/hyperlink" Target="https://api.qrserver.com/v1/create-qr-code/?size=100x100&amp;data=61729" TargetMode="External"/><Relationship Id="rId377" Type="http://schemas.openxmlformats.org/officeDocument/2006/relationships/hyperlink" Target="https://api.qrserver.com/v1/create-qr-code/?size=100x100&amp;data=NM15-29.01" TargetMode="External"/><Relationship Id="rId5" Type="http://schemas.openxmlformats.org/officeDocument/2006/relationships/hyperlink" Target="https://api.qrserver.com/v1/create-qr-code/?size=100x100&amp;data=NM15-01.00" TargetMode="External"/><Relationship Id="rId181" Type="http://schemas.openxmlformats.org/officeDocument/2006/relationships/hyperlink" Target="https://api.qrserver.com/v1/create-qr-code/?size=100x100&amp;data=NM15-09.00" TargetMode="External"/><Relationship Id="rId237" Type="http://schemas.openxmlformats.org/officeDocument/2006/relationships/hyperlink" Target="https://api.qrserver.com/v1/create-qr-code/?size=100x100&amp;data=65425" TargetMode="External"/><Relationship Id="rId402" Type="http://schemas.openxmlformats.org/officeDocument/2006/relationships/image" Target="../media/image201.png"/><Relationship Id="rId279" Type="http://schemas.openxmlformats.org/officeDocument/2006/relationships/hyperlink" Target="https://api.qrserver.com/v1/create-qr-code/?size=100x100&amp;data=NM15-19.01" TargetMode="External"/><Relationship Id="rId444" Type="http://schemas.openxmlformats.org/officeDocument/2006/relationships/image" Target="../media/image222.png"/><Relationship Id="rId43" Type="http://schemas.openxmlformats.org/officeDocument/2006/relationships/hyperlink" Target="https://api.qrserver.com/v1/create-qr-code/?size=100x100&amp;data=53005" TargetMode="External"/><Relationship Id="rId139" Type="http://schemas.openxmlformats.org/officeDocument/2006/relationships/hyperlink" Target="https://api.qrserver.com/v1/create-qr-code/?size=100x100&amp;data=60448" TargetMode="External"/><Relationship Id="rId290" Type="http://schemas.openxmlformats.org/officeDocument/2006/relationships/image" Target="../media/image145.00"/><Relationship Id="rId304" Type="http://schemas.openxmlformats.org/officeDocument/2006/relationships/image" Target="../media/image152.png"/><Relationship Id="rId346" Type="http://schemas.openxmlformats.org/officeDocument/2006/relationships/image" Target="../media/image173.00"/><Relationship Id="rId388" Type="http://schemas.openxmlformats.org/officeDocument/2006/relationships/image" Target="../media/image194.png"/><Relationship Id="rId85" Type="http://schemas.openxmlformats.org/officeDocument/2006/relationships/hyperlink" Target="https://api.qrserver.com/v1/create-qr-code/?size=100x100&amp;data=61723" TargetMode="External"/><Relationship Id="rId150" Type="http://schemas.openxmlformats.org/officeDocument/2006/relationships/image" Target="../media/image75.png"/><Relationship Id="rId192" Type="http://schemas.openxmlformats.org/officeDocument/2006/relationships/image" Target="../media/image96.00"/><Relationship Id="rId206" Type="http://schemas.openxmlformats.org/officeDocument/2006/relationships/image" Target="../media/image103.png"/><Relationship Id="rId413" Type="http://schemas.openxmlformats.org/officeDocument/2006/relationships/hyperlink" Target="https://api.qrserver.com/v1/create-qr-code/?size=100x100&amp;data=NM15-34.00" TargetMode="External"/><Relationship Id="rId248" Type="http://schemas.openxmlformats.org/officeDocument/2006/relationships/image" Target="../media/image124.01"/><Relationship Id="rId12" Type="http://schemas.openxmlformats.org/officeDocument/2006/relationships/image" Target="../media/image6.00"/><Relationship Id="rId108" Type="http://schemas.openxmlformats.org/officeDocument/2006/relationships/image" Target="../media/image54.png"/><Relationship Id="rId315" Type="http://schemas.openxmlformats.org/officeDocument/2006/relationships/hyperlink" Target="https://api.qrserver.com/v1/create-qr-code/?size=100x100&amp;data=61540" TargetMode="External"/><Relationship Id="rId357" Type="http://schemas.openxmlformats.org/officeDocument/2006/relationships/hyperlink" Target="https://api.qrserver.com/v1/create-qr-code/?size=100x100&amp;data=60703" TargetMode="External"/><Relationship Id="rId54" Type="http://schemas.openxmlformats.org/officeDocument/2006/relationships/image" Target="../media/image27.03"/><Relationship Id="rId96" Type="http://schemas.openxmlformats.org/officeDocument/2006/relationships/image" Target="../media/image48.00"/><Relationship Id="rId161" Type="http://schemas.openxmlformats.org/officeDocument/2006/relationships/hyperlink" Target="https://api.qrserver.com/v1/create-qr-code/?size=100x100&amp;data=NM20-08.00" TargetMode="External"/><Relationship Id="rId217" Type="http://schemas.openxmlformats.org/officeDocument/2006/relationships/hyperlink" Target="https://api.qrserver.com/v1/create-qr-code/?size=100x100&amp;data=65299" TargetMode="External"/><Relationship Id="rId399" Type="http://schemas.openxmlformats.org/officeDocument/2006/relationships/hyperlink" Target="https://api.qrserver.com/v1/create-qr-code/?size=100x100&amp;data=NM10-32.00" TargetMode="External"/><Relationship Id="rId259" Type="http://schemas.openxmlformats.org/officeDocument/2006/relationships/hyperlink" Target="https://api.qrserver.com/v1/create-qr-code/?size=100x100&amp;data=NM15-17.01" TargetMode="External"/><Relationship Id="rId424" Type="http://schemas.openxmlformats.org/officeDocument/2006/relationships/image" Target="../media/image212.png"/><Relationship Id="rId23" Type="http://schemas.openxmlformats.org/officeDocument/2006/relationships/hyperlink" Target="https://api.qrserver.com/v1/create-qr-code/?size=100x100&amp;data=NM05-02.01" TargetMode="External"/><Relationship Id="rId119" Type="http://schemas.openxmlformats.org/officeDocument/2006/relationships/hyperlink" Target="https://api.qrserver.com/v1/create-qr-code/?size=100x100&amp;data=NM05-06.00" TargetMode="External"/><Relationship Id="rId270" Type="http://schemas.openxmlformats.org/officeDocument/2006/relationships/image" Target="../media/image135.01"/><Relationship Id="rId326" Type="http://schemas.openxmlformats.org/officeDocument/2006/relationships/image" Target="../media/image163.00"/><Relationship Id="rId65" Type="http://schemas.openxmlformats.org/officeDocument/2006/relationships/hyperlink" Target="https://api.qrserver.com/v1/create-qr-code/?size=100x100&amp;data=65313" TargetMode="External"/><Relationship Id="rId130" Type="http://schemas.openxmlformats.org/officeDocument/2006/relationships/image" Target="../media/image65.00"/><Relationship Id="rId368" Type="http://schemas.openxmlformats.org/officeDocument/2006/relationships/image" Target="../media/image184.01"/><Relationship Id="rId172" Type="http://schemas.openxmlformats.org/officeDocument/2006/relationships/image" Target="../media/image86.png"/><Relationship Id="rId228" Type="http://schemas.openxmlformats.org/officeDocument/2006/relationships/image" Target="../media/image114.png"/><Relationship Id="rId435" Type="http://schemas.openxmlformats.org/officeDocument/2006/relationships/hyperlink" Target="https://api.qrserver.com/v1/create-qr-code/?size=100x100&amp;data=NM20-LinF" TargetMode="External"/><Relationship Id="rId281" Type="http://schemas.openxmlformats.org/officeDocument/2006/relationships/hyperlink" Target="https://api.qrserver.com/v1/create-qr-code/?size=100x100&amp;data=61602" TargetMode="External"/><Relationship Id="rId337" Type="http://schemas.openxmlformats.org/officeDocument/2006/relationships/hyperlink" Target="https://api.qrserver.com/v1/create-qr-code/?size=100x100&amp;data=64414" TargetMode="External"/><Relationship Id="rId34" Type="http://schemas.openxmlformats.org/officeDocument/2006/relationships/image" Target="../media/image17.png"/><Relationship Id="rId76" Type="http://schemas.openxmlformats.org/officeDocument/2006/relationships/image" Target="../media/image38.01"/><Relationship Id="rId141" Type="http://schemas.openxmlformats.org/officeDocument/2006/relationships/hyperlink" Target="https://api.qrserver.com/v1/create-qr-code/?size=100x100&amp;data=NM12-07.00" TargetMode="External"/><Relationship Id="rId379" Type="http://schemas.openxmlformats.org/officeDocument/2006/relationships/hyperlink" Target="https://api.qrserver.com/v1/create-qr-code/?size=100x100&amp;data=NM20-29.01" TargetMode="External"/><Relationship Id="rId7" Type="http://schemas.openxmlformats.org/officeDocument/2006/relationships/hyperlink" Target="https://api.qrserver.com/v1/create-qr-code/?size=100x100&amp;data=63555" TargetMode="External"/><Relationship Id="rId183" Type="http://schemas.openxmlformats.org/officeDocument/2006/relationships/hyperlink" Target="https://api.qrserver.com/v1/create-qr-code/?size=100x100&amp;data=65231" TargetMode="External"/><Relationship Id="rId239" Type="http://schemas.openxmlformats.org/officeDocument/2006/relationships/hyperlink" Target="https://api.qrserver.com/v1/create-qr-code/?size=100x100&amp;data=NM20-15.00" TargetMode="External"/><Relationship Id="rId390" Type="http://schemas.openxmlformats.org/officeDocument/2006/relationships/image" Target="../media/image195.00"/><Relationship Id="rId404" Type="http://schemas.openxmlformats.org/officeDocument/2006/relationships/image" Target="../media/image202.00"/><Relationship Id="rId446" Type="http://schemas.openxmlformats.org/officeDocument/2006/relationships/image" Target="../media/image223.png"/><Relationship Id="rId250" Type="http://schemas.openxmlformats.org/officeDocument/2006/relationships/image" Target="../media/image125.png"/><Relationship Id="rId292" Type="http://schemas.openxmlformats.org/officeDocument/2006/relationships/image" Target="../media/image146.png"/><Relationship Id="rId306" Type="http://schemas.openxmlformats.org/officeDocument/2006/relationships/image" Target="../media/image153.00"/><Relationship Id="rId45" Type="http://schemas.openxmlformats.org/officeDocument/2006/relationships/hyperlink" Target="https://api.qrserver.com/v1/create-qr-code/?size=100x100&amp;data=59816" TargetMode="External"/><Relationship Id="rId87" Type="http://schemas.openxmlformats.org/officeDocument/2006/relationships/hyperlink" Target="https://api.qrserver.com/v1/create-qr-code/?size=100x100&amp;data=65437" TargetMode="External"/><Relationship Id="rId110" Type="http://schemas.openxmlformats.org/officeDocument/2006/relationships/image" Target="../media/image55.01"/><Relationship Id="rId348" Type="http://schemas.openxmlformats.org/officeDocument/2006/relationships/image" Target="../media/image174.png"/><Relationship Id="rId152" Type="http://schemas.openxmlformats.org/officeDocument/2006/relationships/image" Target="../media/image76.01"/><Relationship Id="rId194" Type="http://schemas.openxmlformats.org/officeDocument/2006/relationships/image" Target="../media/image97.png"/><Relationship Id="rId208" Type="http://schemas.openxmlformats.org/officeDocument/2006/relationships/image" Target="../media/image104.00"/><Relationship Id="rId415" Type="http://schemas.openxmlformats.org/officeDocument/2006/relationships/hyperlink" Target="https://api.qrserver.com/v1/create-qr-code/?size=100x100&amp;data=65332" TargetMode="External"/><Relationship Id="rId261" Type="http://schemas.openxmlformats.org/officeDocument/2006/relationships/hyperlink" Target="https://api.qrserver.com/v1/create-qr-code/?size=100x100&amp;data=NM05-18.01" TargetMode="External"/><Relationship Id="rId14" Type="http://schemas.openxmlformats.org/officeDocument/2006/relationships/image" Target="../media/image7.png"/><Relationship Id="rId56" Type="http://schemas.openxmlformats.org/officeDocument/2006/relationships/image" Target="../media/image28.png"/><Relationship Id="rId317" Type="http://schemas.openxmlformats.org/officeDocument/2006/relationships/hyperlink" Target="https://api.qrserver.com/v1/create-qr-code/?size=100x100&amp;data=NM15-22.01" TargetMode="External"/><Relationship Id="rId359" Type="http://schemas.openxmlformats.org/officeDocument/2006/relationships/hyperlink" Target="https://api.qrserver.com/v1/create-qr-code/?size=100x100&amp;data=NM15-27.00" TargetMode="External"/><Relationship Id="rId98" Type="http://schemas.openxmlformats.org/officeDocument/2006/relationships/image" Target="../media/image49.png"/><Relationship Id="rId121" Type="http://schemas.openxmlformats.org/officeDocument/2006/relationships/hyperlink" Target="https://api.qrserver.com/v1/create-qr-code/?size=100x100&amp;data=59935" TargetMode="External"/><Relationship Id="rId163" Type="http://schemas.openxmlformats.org/officeDocument/2006/relationships/hyperlink" Target="https://api.qrserver.com/v1/create-qr-code/?size=100x100&amp;data=S2022" TargetMode="External"/><Relationship Id="rId219" Type="http://schemas.openxmlformats.org/officeDocument/2006/relationships/hyperlink" Target="https://api.qrserver.com/v1/create-qr-code/?size=100x100&amp;data=NM20-13.00" TargetMode="External"/><Relationship Id="rId370" Type="http://schemas.openxmlformats.org/officeDocument/2006/relationships/image" Target="../media/image185.png"/><Relationship Id="rId426" Type="http://schemas.openxmlformats.org/officeDocument/2006/relationships/image" Target="../media/image213.png"/><Relationship Id="rId230" Type="http://schemas.openxmlformats.org/officeDocument/2006/relationships/image" Target="../media/image115.png"/><Relationship Id="rId25" Type="http://schemas.openxmlformats.org/officeDocument/2006/relationships/hyperlink" Target="https://api.qrserver.com/v1/create-qr-code/?size=100x100&amp;data=NM10-02.00" TargetMode="External"/><Relationship Id="rId67" Type="http://schemas.openxmlformats.org/officeDocument/2006/relationships/hyperlink" Target="https://api.qrserver.com/v1/create-qr-code/?size=100x100&amp;data=NM34-03.00" TargetMode="External"/><Relationship Id="rId272" Type="http://schemas.openxmlformats.org/officeDocument/2006/relationships/image" Target="../media/image136.png"/><Relationship Id="rId328" Type="http://schemas.openxmlformats.org/officeDocument/2006/relationships/image" Target="../media/image164.00"/><Relationship Id="rId132" Type="http://schemas.openxmlformats.org/officeDocument/2006/relationships/image" Target="../media/image66.png"/><Relationship Id="rId174" Type="http://schemas.openxmlformats.org/officeDocument/2006/relationships/image" Target="../media/image87.00"/><Relationship Id="rId381" Type="http://schemas.openxmlformats.org/officeDocument/2006/relationships/hyperlink" Target="https://api.qrserver.com/v1/create-qr-code/?size=100x100&amp;data=NM15-30.00" TargetMode="External"/><Relationship Id="rId241" Type="http://schemas.openxmlformats.org/officeDocument/2006/relationships/hyperlink" Target="https://api.qrserver.com/v1/create-qr-code/?size=100x100&amp;data=NM15-16.00" TargetMode="External"/><Relationship Id="rId437" Type="http://schemas.openxmlformats.org/officeDocument/2006/relationships/hyperlink" Target="https://api.qrserver.com/v1/create-qr-code/?size=100x100&amp;data=NM20-LinM" TargetMode="External"/><Relationship Id="rId36" Type="http://schemas.openxmlformats.org/officeDocument/2006/relationships/image" Target="../media/image18.00"/><Relationship Id="rId283" Type="http://schemas.openxmlformats.org/officeDocument/2006/relationships/hyperlink" Target="https://api.qrserver.com/v1/create-qr-code/?size=100x100&amp;data=65325" TargetMode="External"/><Relationship Id="rId339" Type="http://schemas.openxmlformats.org/officeDocument/2006/relationships/hyperlink" Target="https://api.qrserver.com/v1/create-qr-code/?size=100x100&amp;data=65414" TargetMode="External"/><Relationship Id="rId78" Type="http://schemas.openxmlformats.org/officeDocument/2006/relationships/image" Target="../media/image39.png"/><Relationship Id="rId101" Type="http://schemas.openxmlformats.org/officeDocument/2006/relationships/hyperlink" Target="https://api.qrserver.com/v1/create-qr-code/?size=100x100&amp;data=NM10-05.00" TargetMode="External"/><Relationship Id="rId143" Type="http://schemas.openxmlformats.org/officeDocument/2006/relationships/hyperlink" Target="https://api.qrserver.com/v1/create-qr-code/?size=100x100&amp;data=51595" TargetMode="External"/><Relationship Id="rId185" Type="http://schemas.openxmlformats.org/officeDocument/2006/relationships/hyperlink" Target="https://api.qrserver.com/v1/create-qr-code/?size=100x100&amp;data=NM15-10.00" TargetMode="External"/><Relationship Id="rId350" Type="http://schemas.openxmlformats.org/officeDocument/2006/relationships/image" Target="../media/image175.00"/><Relationship Id="rId406" Type="http://schemas.openxmlformats.org/officeDocument/2006/relationships/image" Target="../media/image203.png"/><Relationship Id="rId9" Type="http://schemas.openxmlformats.org/officeDocument/2006/relationships/hyperlink" Target="https://api.qrserver.com/v1/create-qr-code/?size=100x100&amp;data=63577" TargetMode="External"/><Relationship Id="rId210" Type="http://schemas.openxmlformats.org/officeDocument/2006/relationships/image" Target="../media/image105.01"/><Relationship Id="rId392" Type="http://schemas.openxmlformats.org/officeDocument/2006/relationships/image" Target="../media/image196.01"/><Relationship Id="rId252" Type="http://schemas.openxmlformats.org/officeDocument/2006/relationships/image" Target="../media/image126.png"/><Relationship Id="rId294" Type="http://schemas.openxmlformats.org/officeDocument/2006/relationships/image" Target="../media/image147.01"/><Relationship Id="rId308" Type="http://schemas.openxmlformats.org/officeDocument/2006/relationships/image" Target="../media/image154.png"/><Relationship Id="rId47" Type="http://schemas.openxmlformats.org/officeDocument/2006/relationships/hyperlink" Target="https://api.qrserver.com/v1/create-qr-code/?size=100x100&amp;data=NM05-03.01" TargetMode="External"/><Relationship Id="rId89" Type="http://schemas.openxmlformats.org/officeDocument/2006/relationships/hyperlink" Target="https://api.qrserver.com/v1/create-qr-code/?size=100x100&amp;data=NM15-04.02" TargetMode="External"/><Relationship Id="rId112" Type="http://schemas.openxmlformats.org/officeDocument/2006/relationships/image" Target="../media/image56.png"/><Relationship Id="rId154" Type="http://schemas.openxmlformats.org/officeDocument/2006/relationships/image" Target="../media/image77.00"/><Relationship Id="rId361" Type="http://schemas.openxmlformats.org/officeDocument/2006/relationships/hyperlink" Target="https://api.qrserver.com/v1/create-qr-code/?size=100x100&amp;data=61518" TargetMode="External"/><Relationship Id="rId196" Type="http://schemas.openxmlformats.org/officeDocument/2006/relationships/image" Target="../media/image98.01"/><Relationship Id="rId417" Type="http://schemas.openxmlformats.org/officeDocument/2006/relationships/hyperlink" Target="https://api.qrserver.com/v1/create-qr-code/?size=100x100&amp;data=CH2/40CE" TargetMode="External"/><Relationship Id="rId16" Type="http://schemas.openxmlformats.org/officeDocument/2006/relationships/image" Target="../media/image8.png"/><Relationship Id="rId221" Type="http://schemas.openxmlformats.org/officeDocument/2006/relationships/hyperlink" Target="https://api.qrserver.com/v1/create-qr-code/?size=100x100&amp;data=NM05-14.00" TargetMode="External"/><Relationship Id="rId263" Type="http://schemas.openxmlformats.org/officeDocument/2006/relationships/hyperlink" Target="https://api.qrserver.com/v1/create-qr-code/?size=100x100&amp;data=59842" TargetMode="External"/><Relationship Id="rId319" Type="http://schemas.openxmlformats.org/officeDocument/2006/relationships/hyperlink" Target="https://api.qrserver.com/v1/create-qr-code/?size=100x100&amp;data=NM20-22.01" TargetMode="External"/><Relationship Id="rId58" Type="http://schemas.openxmlformats.org/officeDocument/2006/relationships/image" Target="../media/image29.00"/><Relationship Id="rId123" Type="http://schemas.openxmlformats.org/officeDocument/2006/relationships/hyperlink" Target="https://api.qrserver.com/v1/create-qr-code/?size=100x100&amp;data=NM12.02-06.00" TargetMode="External"/><Relationship Id="rId330" Type="http://schemas.openxmlformats.org/officeDocument/2006/relationships/image" Target="../media/image165.png"/><Relationship Id="rId165" Type="http://schemas.openxmlformats.org/officeDocument/2006/relationships/hyperlink" Target="https://api.qrserver.com/v1/create-qr-code/?size=100x100&amp;data=NM05-09.00" TargetMode="External"/><Relationship Id="rId372" Type="http://schemas.openxmlformats.org/officeDocument/2006/relationships/image" Target="../media/image186.00"/><Relationship Id="rId428" Type="http://schemas.openxmlformats.org/officeDocument/2006/relationships/image" Target="../media/image214.png"/><Relationship Id="rId232" Type="http://schemas.openxmlformats.org/officeDocument/2006/relationships/image" Target="../media/image116.01"/><Relationship Id="rId274" Type="http://schemas.openxmlformats.org/officeDocument/2006/relationships/image" Target="../media/image137.02"/><Relationship Id="rId27" Type="http://schemas.openxmlformats.org/officeDocument/2006/relationships/hyperlink" Target="https://api.qrserver.com/v1/create-qr-code/?size=100x100&amp;data=NM12-02.00" TargetMode="External"/><Relationship Id="rId69" Type="http://schemas.openxmlformats.org/officeDocument/2006/relationships/hyperlink" Target="https://api.qrserver.com/v1/create-qr-code/?size=100x100&amp;data=NM05-04.00" TargetMode="External"/><Relationship Id="rId134" Type="http://schemas.openxmlformats.org/officeDocument/2006/relationships/image" Target="../media/image67.png"/><Relationship Id="rId80" Type="http://schemas.openxmlformats.org/officeDocument/2006/relationships/image" Target="../media/image40.00"/><Relationship Id="rId176" Type="http://schemas.openxmlformats.org/officeDocument/2006/relationships/image" Target="../media/image88.png"/><Relationship Id="rId341" Type="http://schemas.openxmlformats.org/officeDocument/2006/relationships/hyperlink" Target="https://api.qrserver.com/v1/create-qr-code/?size=100x100&amp;data=NM15-25.01" TargetMode="External"/><Relationship Id="rId383" Type="http://schemas.openxmlformats.org/officeDocument/2006/relationships/hyperlink" Target="https://api.qrserver.com/v1/create-qr-code/?size=100x100&amp;data=61570" TargetMode="External"/><Relationship Id="rId439" Type="http://schemas.openxmlformats.org/officeDocument/2006/relationships/hyperlink" Target="https://api.qrserver.com/v1/create-qr-code/?size=100x100&amp;data=LuAr" TargetMode="External"/><Relationship Id="rId201" Type="http://schemas.openxmlformats.org/officeDocument/2006/relationships/hyperlink" Target="https://api.qrserver.com/v1/create-qr-code/?size=100x100&amp;data=NM12.2-12.00" TargetMode="External"/><Relationship Id="rId243" Type="http://schemas.openxmlformats.org/officeDocument/2006/relationships/hyperlink" Target="https://api.qrserver.com/v1/create-qr-code/?size=100x100&amp;data=61533" TargetMode="External"/><Relationship Id="rId285" Type="http://schemas.openxmlformats.org/officeDocument/2006/relationships/hyperlink" Target="https://api.qrserver.com/v1/create-qr-code/?size=100x100&amp;data=NM34-19.01" TargetMode="External"/><Relationship Id="rId38" Type="http://schemas.openxmlformats.org/officeDocument/2006/relationships/image" Target="../media/image19.00"/><Relationship Id="rId103" Type="http://schemas.openxmlformats.org/officeDocument/2006/relationships/hyperlink" Target="https://api.qrserver.com/v1/create-qr-code/?size=100x100&amp;data=59629" TargetMode="External"/><Relationship Id="rId310" Type="http://schemas.openxmlformats.org/officeDocument/2006/relationships/image" Target="../media/image155.01"/><Relationship Id="rId91" Type="http://schemas.openxmlformats.org/officeDocument/2006/relationships/hyperlink" Target="https://api.qrserver.com/v1/create-qr-code/?size=100x100&amp;data=61439" TargetMode="External"/><Relationship Id="rId145" Type="http://schemas.openxmlformats.org/officeDocument/2006/relationships/hyperlink" Target="https://api.qrserver.com/v1/create-qr-code/?size=100x100&amp;data=NM15-07.00" TargetMode="External"/><Relationship Id="rId187" Type="http://schemas.openxmlformats.org/officeDocument/2006/relationships/hyperlink" Target="https://api.qrserver.com/v1/create-qr-code/?size=100x100&amp;data=61462" TargetMode="External"/><Relationship Id="rId352" Type="http://schemas.openxmlformats.org/officeDocument/2006/relationships/image" Target="../media/image176.png"/><Relationship Id="rId394" Type="http://schemas.openxmlformats.org/officeDocument/2006/relationships/image" Target="../media/image197.png"/><Relationship Id="rId408" Type="http://schemas.openxmlformats.org/officeDocument/2006/relationships/image" Target="../media/image204.02"/><Relationship Id="rId212" Type="http://schemas.openxmlformats.org/officeDocument/2006/relationships/image" Target="../media/image106.00"/><Relationship Id="rId254" Type="http://schemas.openxmlformats.org/officeDocument/2006/relationships/image" Target="../media/image127.00"/><Relationship Id="rId49" Type="http://schemas.openxmlformats.org/officeDocument/2006/relationships/hyperlink" Target="https://api.qrserver.com/v1/create-qr-code/?size=100x100&amp;data=58783" TargetMode="External"/><Relationship Id="rId114" Type="http://schemas.openxmlformats.org/officeDocument/2006/relationships/image" Target="../media/image57.png"/><Relationship Id="rId296" Type="http://schemas.openxmlformats.org/officeDocument/2006/relationships/image" Target="../media/image148.png"/><Relationship Id="rId60" Type="http://schemas.openxmlformats.org/officeDocument/2006/relationships/image" Target="../media/image30.png"/><Relationship Id="rId156" Type="http://schemas.openxmlformats.org/officeDocument/2006/relationships/image" Target="../media/image78.png"/><Relationship Id="rId198" Type="http://schemas.openxmlformats.org/officeDocument/2006/relationships/image" Target="../media/image99.png"/><Relationship Id="rId321" Type="http://schemas.openxmlformats.org/officeDocument/2006/relationships/hyperlink" Target="https://api.qrserver.com/v1/create-qr-code/?size=100x100&amp;data=NM15-23.00" TargetMode="External"/><Relationship Id="rId363" Type="http://schemas.openxmlformats.org/officeDocument/2006/relationships/hyperlink" Target="https://api.qrserver.com/v1/create-qr-code/?size=100x100&amp;data=NM15-27.01" TargetMode="External"/><Relationship Id="rId419" Type="http://schemas.openxmlformats.org/officeDocument/2006/relationships/hyperlink" Target="https://api.qrserver.com/v1/create-qr-code/?size=100x100&amp;data=A220324523/2" TargetMode="External"/><Relationship Id="rId223" Type="http://schemas.openxmlformats.org/officeDocument/2006/relationships/hyperlink" Target="https://api.qrserver.com/v1/create-qr-code/?size=100x100&amp;data=60654" TargetMode="External"/><Relationship Id="rId430" Type="http://schemas.openxmlformats.org/officeDocument/2006/relationships/image" Target="../media/image215.5"/><Relationship Id="rId18" Type="http://schemas.openxmlformats.org/officeDocument/2006/relationships/image" Target="../media/image9.png"/><Relationship Id="rId39" Type="http://schemas.openxmlformats.org/officeDocument/2006/relationships/hyperlink" Target="https://api.qrserver.com/v1/create-qr-code/?size=100x100&amp;data=S2024" TargetMode="External"/><Relationship Id="rId265" Type="http://schemas.openxmlformats.org/officeDocument/2006/relationships/hyperlink" Target="https://api.qrserver.com/v1/create-qr-code/?size=100x100&amp;data=NM15-18.00" TargetMode="External"/><Relationship Id="rId286" Type="http://schemas.openxmlformats.org/officeDocument/2006/relationships/image" Target="../media/image143.01"/><Relationship Id="rId50" Type="http://schemas.openxmlformats.org/officeDocument/2006/relationships/image" Target="../media/image25.png"/><Relationship Id="rId104" Type="http://schemas.openxmlformats.org/officeDocument/2006/relationships/image" Target="../media/image52.png"/><Relationship Id="rId125" Type="http://schemas.openxmlformats.org/officeDocument/2006/relationships/hyperlink" Target="https://api.qrserver.com/v1/create-qr-code/?size=100x100&amp;data=NM14-06.00" TargetMode="External"/><Relationship Id="rId146" Type="http://schemas.openxmlformats.org/officeDocument/2006/relationships/image" Target="../media/image73.00"/><Relationship Id="rId167" Type="http://schemas.openxmlformats.org/officeDocument/2006/relationships/hyperlink" Target="https://api.qrserver.com/v1/create-qr-code/?size=100x100&amp;data=59713" TargetMode="External"/><Relationship Id="rId188" Type="http://schemas.openxmlformats.org/officeDocument/2006/relationships/image" Target="../media/image94.png"/><Relationship Id="rId311" Type="http://schemas.openxmlformats.org/officeDocument/2006/relationships/hyperlink" Target="https://api.qrserver.com/v1/create-qr-code/?size=100x100&amp;data=NM15-21.02" TargetMode="External"/><Relationship Id="rId332" Type="http://schemas.openxmlformats.org/officeDocument/2006/relationships/image" Target="../media/image166.01"/><Relationship Id="rId353" Type="http://schemas.openxmlformats.org/officeDocument/2006/relationships/hyperlink" Target="https://api.qrserver.com/v1/create-qr-code/?size=100x100&amp;data=65344" TargetMode="External"/><Relationship Id="rId374" Type="http://schemas.openxmlformats.org/officeDocument/2006/relationships/image" Target="../media/image187.png"/><Relationship Id="rId395" Type="http://schemas.openxmlformats.org/officeDocument/2006/relationships/hyperlink" Target="https://api.qrserver.com/v1/create-qr-code/?size=100x100&amp;data=NM05-32.02" TargetMode="External"/><Relationship Id="rId409" Type="http://schemas.openxmlformats.org/officeDocument/2006/relationships/hyperlink" Target="https://api.qrserver.com/v1/create-qr-code/?size=100x100&amp;data=NM20-32-02" TargetMode="External"/><Relationship Id="rId71" Type="http://schemas.openxmlformats.org/officeDocument/2006/relationships/hyperlink" Target="https://api.qrserver.com/v1/create-qr-code/?size=100x100&amp;data=NM05-04.02" TargetMode="External"/><Relationship Id="rId92" Type="http://schemas.openxmlformats.org/officeDocument/2006/relationships/image" Target="../media/image46.png"/><Relationship Id="rId213" Type="http://schemas.openxmlformats.org/officeDocument/2006/relationships/hyperlink" Target="https://api.qrserver.com/v1/create-qr-code/?size=100x100&amp;data=NM15-13.00" TargetMode="External"/><Relationship Id="rId234" Type="http://schemas.openxmlformats.org/officeDocument/2006/relationships/image" Target="../media/image117.00"/><Relationship Id="rId420" Type="http://schemas.openxmlformats.org/officeDocument/2006/relationships/image" Target="../media/image210.png"/><Relationship Id="rId2" Type="http://schemas.openxmlformats.org/officeDocument/2006/relationships/image" Target="../media/image1.00"/><Relationship Id="rId29" Type="http://schemas.openxmlformats.org/officeDocument/2006/relationships/hyperlink" Target="https://api.qrserver.com/v1/create-qr-code/?size=100x100&amp;data=NM15-02.00" TargetMode="External"/><Relationship Id="rId255" Type="http://schemas.openxmlformats.org/officeDocument/2006/relationships/hyperlink" Target="https://api.qrserver.com/v1/create-qr-code/?size=100x100&amp;data=NM15-17.00" TargetMode="External"/><Relationship Id="rId276" Type="http://schemas.openxmlformats.org/officeDocument/2006/relationships/image" Target="../media/image138.00"/><Relationship Id="rId297" Type="http://schemas.openxmlformats.org/officeDocument/2006/relationships/hyperlink" Target="https://api.qrserver.com/v1/create-qr-code/?size=100x100&amp;data=65357" TargetMode="External"/><Relationship Id="rId441" Type="http://schemas.openxmlformats.org/officeDocument/2006/relationships/hyperlink" Target="https://api.qrserver.com/v1/create-qr-code/?size=100x100&amp;data=LuDo" TargetMode="External"/><Relationship Id="rId40" Type="http://schemas.openxmlformats.org/officeDocument/2006/relationships/image" Target="../media/image20.png"/><Relationship Id="rId115" Type="http://schemas.openxmlformats.org/officeDocument/2006/relationships/hyperlink" Target="https://api.qrserver.com/v1/create-qr-code/?size=100x100&amp;data=NM15-05.02" TargetMode="External"/><Relationship Id="rId136" Type="http://schemas.openxmlformats.org/officeDocument/2006/relationships/image" Target="../media/image68.00"/><Relationship Id="rId157" Type="http://schemas.openxmlformats.org/officeDocument/2006/relationships/hyperlink" Target="https://api.qrserver.com/v1/create-qr-code/?size=100x100&amp;data=NM15-08.00" TargetMode="External"/><Relationship Id="rId178" Type="http://schemas.openxmlformats.org/officeDocument/2006/relationships/image" Target="../media/image89.00"/><Relationship Id="rId301" Type="http://schemas.openxmlformats.org/officeDocument/2006/relationships/hyperlink" Target="https://api.qrserver.com/v1/create-qr-code/?size=100x100&amp;data=NM10-21.01" TargetMode="External"/><Relationship Id="rId322" Type="http://schemas.openxmlformats.org/officeDocument/2006/relationships/image" Target="../media/image161.00"/><Relationship Id="rId343" Type="http://schemas.openxmlformats.org/officeDocument/2006/relationships/hyperlink" Target="https://api.qrserver.com/v1/create-qr-code/?size=100x100&amp;data=NM20-25.01" TargetMode="External"/><Relationship Id="rId364" Type="http://schemas.openxmlformats.org/officeDocument/2006/relationships/image" Target="../media/image182.01"/><Relationship Id="rId61" Type="http://schemas.openxmlformats.org/officeDocument/2006/relationships/hyperlink" Target="https://api.qrserver.com/v1/create-qr-code/?size=100x100&amp;data=65359" TargetMode="External"/><Relationship Id="rId82" Type="http://schemas.openxmlformats.org/officeDocument/2006/relationships/image" Target="../media/image41.png"/><Relationship Id="rId199" Type="http://schemas.openxmlformats.org/officeDocument/2006/relationships/hyperlink" Target="https://api.qrserver.com/v1/create-qr-code/?size=100x100&amp;data=NM05-12.00" TargetMode="External"/><Relationship Id="rId203" Type="http://schemas.openxmlformats.org/officeDocument/2006/relationships/hyperlink" Target="https://api.qrserver.com/v1/create-qr-code/?size=100x100&amp;data=NM15-12.00" TargetMode="External"/><Relationship Id="rId385" Type="http://schemas.openxmlformats.org/officeDocument/2006/relationships/hyperlink" Target="https://api.qrserver.com/v1/create-qr-code/?size=100x100&amp;data=NM15-31.00" TargetMode="External"/><Relationship Id="rId19" Type="http://schemas.openxmlformats.org/officeDocument/2006/relationships/hyperlink" Target="https://api.qrserver.com/v1/create-qr-code/?size=100x100&amp;data=60473" TargetMode="External"/><Relationship Id="rId224" Type="http://schemas.openxmlformats.org/officeDocument/2006/relationships/image" Target="../media/image112.png"/><Relationship Id="rId245" Type="http://schemas.openxmlformats.org/officeDocument/2006/relationships/hyperlink" Target="https://api.qrserver.com/v1/create-qr-code/?size=100x100&amp;data=65327" TargetMode="External"/><Relationship Id="rId266" Type="http://schemas.openxmlformats.org/officeDocument/2006/relationships/image" Target="../media/image133.00"/><Relationship Id="rId287" Type="http://schemas.openxmlformats.org/officeDocument/2006/relationships/hyperlink" Target="https://api.qrserver.com/v1/create-qr-code/?size=100x100&amp;data=NM05-20.02" TargetMode="External"/><Relationship Id="rId410" Type="http://schemas.openxmlformats.org/officeDocument/2006/relationships/image" Target="../media/image205.png"/><Relationship Id="rId431" Type="http://schemas.openxmlformats.org/officeDocument/2006/relationships/hyperlink" Target="https://api.qrserver.com/v1/create-qr-code/?size=100x100&amp;data=NM20-LinC" TargetMode="External"/><Relationship Id="rId30" Type="http://schemas.openxmlformats.org/officeDocument/2006/relationships/image" Target="../media/image15.00"/><Relationship Id="rId105" Type="http://schemas.openxmlformats.org/officeDocument/2006/relationships/hyperlink" Target="https://api.qrserver.com/v1/create-qr-code/?size=100x100&amp;data=NM15-05.00" TargetMode="External"/><Relationship Id="rId126" Type="http://schemas.openxmlformats.org/officeDocument/2006/relationships/image" Target="../media/image63.00"/><Relationship Id="rId147" Type="http://schemas.openxmlformats.org/officeDocument/2006/relationships/hyperlink" Target="https://api.qrserver.com/v1/create-qr-code/?size=100x100&amp;data=61445" TargetMode="External"/><Relationship Id="rId168" Type="http://schemas.openxmlformats.org/officeDocument/2006/relationships/image" Target="../media/image84.png"/><Relationship Id="rId312" Type="http://schemas.openxmlformats.org/officeDocument/2006/relationships/image" Target="../media/image156.02"/><Relationship Id="rId333" Type="http://schemas.openxmlformats.org/officeDocument/2006/relationships/hyperlink" Target="https://api.qrserver.com/v1/create-qr-code/?size=100x100&amp;data=NM15-25.00" TargetMode="External"/><Relationship Id="rId354" Type="http://schemas.openxmlformats.org/officeDocument/2006/relationships/image" Target="../media/image177.png"/><Relationship Id="rId51" Type="http://schemas.openxmlformats.org/officeDocument/2006/relationships/hyperlink" Target="https://api.qrserver.com/v1/create-qr-code/?size=100x100&amp;data=NM05-03.02" TargetMode="External"/><Relationship Id="rId72" Type="http://schemas.openxmlformats.org/officeDocument/2006/relationships/image" Target="../media/image36.02"/><Relationship Id="rId93" Type="http://schemas.openxmlformats.org/officeDocument/2006/relationships/hyperlink" Target="https://api.qrserver.com/v1/create-qr-code/?size=100x100&amp;data=NM34-04.00" TargetMode="External"/><Relationship Id="rId189" Type="http://schemas.openxmlformats.org/officeDocument/2006/relationships/hyperlink" Target="https://api.qrserver.com/v1/create-qr-code/?size=100x100&amp;data=65322" TargetMode="External"/><Relationship Id="rId375" Type="http://schemas.openxmlformats.org/officeDocument/2006/relationships/hyperlink" Target="https://api.qrserver.com/v1/create-qr-code/?size=100x100&amp;data=65333" TargetMode="External"/><Relationship Id="rId396" Type="http://schemas.openxmlformats.org/officeDocument/2006/relationships/image" Target="../media/image198.02"/><Relationship Id="rId3" Type="http://schemas.openxmlformats.org/officeDocument/2006/relationships/hyperlink" Target="https://api.qrserver.com/v1/create-qr-code/?size=100x100&amp;data=S2023" TargetMode="External"/><Relationship Id="rId214" Type="http://schemas.openxmlformats.org/officeDocument/2006/relationships/image" Target="../media/image107.00"/><Relationship Id="rId235" Type="http://schemas.openxmlformats.org/officeDocument/2006/relationships/hyperlink" Target="https://api.qrserver.com/v1/create-qr-code/?size=100x100&amp;data=61645" TargetMode="External"/><Relationship Id="rId256" Type="http://schemas.openxmlformats.org/officeDocument/2006/relationships/image" Target="../media/image128.00"/><Relationship Id="rId277" Type="http://schemas.openxmlformats.org/officeDocument/2006/relationships/hyperlink" Target="https://api.qrserver.com/v1/create-qr-code/?size=100x100&amp;data=61471" TargetMode="External"/><Relationship Id="rId298" Type="http://schemas.openxmlformats.org/officeDocument/2006/relationships/image" Target="../media/image149.png"/><Relationship Id="rId400" Type="http://schemas.openxmlformats.org/officeDocument/2006/relationships/image" Target="../media/image200.00"/><Relationship Id="rId421" Type="http://schemas.openxmlformats.org/officeDocument/2006/relationships/hyperlink" Target="https://api.qrserver.com/v1/create-qr-code/?size=100x100&amp;data=CH2/50CE" TargetMode="External"/><Relationship Id="rId442" Type="http://schemas.openxmlformats.org/officeDocument/2006/relationships/image" Target="../media/image221.png"/><Relationship Id="rId116" Type="http://schemas.openxmlformats.org/officeDocument/2006/relationships/image" Target="../media/image58.02"/><Relationship Id="rId137" Type="http://schemas.openxmlformats.org/officeDocument/2006/relationships/hyperlink" Target="https://api.qrserver.com/v1/create-qr-code/?size=100x100&amp;data=60292" TargetMode="External"/><Relationship Id="rId158" Type="http://schemas.openxmlformats.org/officeDocument/2006/relationships/image" Target="../media/image79.00"/><Relationship Id="rId302" Type="http://schemas.openxmlformats.org/officeDocument/2006/relationships/image" Target="../media/image151.01"/><Relationship Id="rId323" Type="http://schemas.openxmlformats.org/officeDocument/2006/relationships/hyperlink" Target="https://api.qrserver.com/v1/create-qr-code/?size=100x100&amp;data=61566" TargetMode="External"/><Relationship Id="rId344" Type="http://schemas.openxmlformats.org/officeDocument/2006/relationships/image" Target="../media/image172.01"/><Relationship Id="rId20" Type="http://schemas.openxmlformats.org/officeDocument/2006/relationships/image" Target="../media/image10.png"/><Relationship Id="rId41" Type="http://schemas.openxmlformats.org/officeDocument/2006/relationships/hyperlink" Target="https://api.qrserver.com/v1/create-qr-code/?size=100x100&amp;data=NM05-03.00" TargetMode="External"/><Relationship Id="rId62" Type="http://schemas.openxmlformats.org/officeDocument/2006/relationships/image" Target="../media/image31.png"/><Relationship Id="rId83" Type="http://schemas.openxmlformats.org/officeDocument/2006/relationships/hyperlink" Target="https://api.qrserver.com/v1/create-qr-code/?size=100x100&amp;data=NM15-04.01" TargetMode="External"/><Relationship Id="rId179" Type="http://schemas.openxmlformats.org/officeDocument/2006/relationships/hyperlink" Target="https://api.qrserver.com/v1/create-qr-code/?size=100x100&amp;data=59635" TargetMode="External"/><Relationship Id="rId365" Type="http://schemas.openxmlformats.org/officeDocument/2006/relationships/hyperlink" Target="https://api.qrserver.com/v1/create-qr-code/?size=100x100&amp;data=NM15-28.00" TargetMode="External"/><Relationship Id="rId386" Type="http://schemas.openxmlformats.org/officeDocument/2006/relationships/image" Target="../media/image193.00"/><Relationship Id="rId190" Type="http://schemas.openxmlformats.org/officeDocument/2006/relationships/image" Target="../media/image95.png"/><Relationship Id="rId204" Type="http://schemas.openxmlformats.org/officeDocument/2006/relationships/image" Target="../media/image102.00"/><Relationship Id="rId225" Type="http://schemas.openxmlformats.org/officeDocument/2006/relationships/hyperlink" Target="https://api.qrserver.com/v1/create-qr-code/?size=100x100&amp;data=NM15-14.00" TargetMode="External"/><Relationship Id="rId246" Type="http://schemas.openxmlformats.org/officeDocument/2006/relationships/image" Target="../media/image123.png"/><Relationship Id="rId267" Type="http://schemas.openxmlformats.org/officeDocument/2006/relationships/hyperlink" Target="https://api.qrserver.com/v1/create-qr-code/?size=100x100&amp;data=61535" TargetMode="External"/><Relationship Id="rId288" Type="http://schemas.openxmlformats.org/officeDocument/2006/relationships/image" Target="../media/image144.02"/><Relationship Id="rId411" Type="http://schemas.openxmlformats.org/officeDocument/2006/relationships/hyperlink" Target="https://api.qrserver.com/v1/create-qr-code/?size=100x100&amp;data=NM15-33.00" TargetMode="External"/><Relationship Id="rId432" Type="http://schemas.openxmlformats.org/officeDocument/2006/relationships/image" Target="../media/image216.png"/><Relationship Id="rId106" Type="http://schemas.openxmlformats.org/officeDocument/2006/relationships/image" Target="../media/image53.00"/><Relationship Id="rId127" Type="http://schemas.openxmlformats.org/officeDocument/2006/relationships/hyperlink" Target="https://api.qrserver.com/v1/create-qr-code/?size=100x100&amp;data=60195" TargetMode="External"/><Relationship Id="rId313" Type="http://schemas.openxmlformats.org/officeDocument/2006/relationships/hyperlink" Target="https://api.qrserver.com/v1/create-qr-code/?size=100x100&amp;data=NM15-22.00" TargetMode="External"/><Relationship Id="rId10" Type="http://schemas.openxmlformats.org/officeDocument/2006/relationships/image" Target="../media/image5.png"/><Relationship Id="rId31" Type="http://schemas.openxmlformats.org/officeDocument/2006/relationships/hyperlink" Target="https://api.qrserver.com/v1/create-qr-code/?size=100x100&amp;data=61424" TargetMode="External"/><Relationship Id="rId52" Type="http://schemas.openxmlformats.org/officeDocument/2006/relationships/image" Target="../media/image26.02"/><Relationship Id="rId73" Type="http://schemas.openxmlformats.org/officeDocument/2006/relationships/hyperlink" Target="https://api.qrserver.com/v1/create-qr-code/?size=100x100&amp;data=60623" TargetMode="External"/><Relationship Id="rId94" Type="http://schemas.openxmlformats.org/officeDocument/2006/relationships/image" Target="../media/image47.00"/><Relationship Id="rId148" Type="http://schemas.openxmlformats.org/officeDocument/2006/relationships/image" Target="../media/image74.png"/><Relationship Id="rId169" Type="http://schemas.openxmlformats.org/officeDocument/2006/relationships/hyperlink" Target="https://api.qrserver.com/v1/create-qr-code/?size=100x100&amp;data=NM07-09.00" TargetMode="External"/><Relationship Id="rId334" Type="http://schemas.openxmlformats.org/officeDocument/2006/relationships/image" Target="../media/image167.00"/><Relationship Id="rId355" Type="http://schemas.openxmlformats.org/officeDocument/2006/relationships/hyperlink" Target="https://api.qrserver.com/v1/create-qr-code/?size=100x100&amp;data=NM07/2-27.00" TargetMode="External"/><Relationship Id="rId376" Type="http://schemas.openxmlformats.org/officeDocument/2006/relationships/image" Target="../media/image188.png"/><Relationship Id="rId397" Type="http://schemas.openxmlformats.org/officeDocument/2006/relationships/hyperlink" Target="https://api.qrserver.com/v1/create-qr-code/?size=100x100&amp;data=56218" TargetMode="External"/><Relationship Id="rId4" Type="http://schemas.openxmlformats.org/officeDocument/2006/relationships/image" Target="../media/image2.png"/><Relationship Id="rId180" Type="http://schemas.openxmlformats.org/officeDocument/2006/relationships/image" Target="../media/image90.png"/><Relationship Id="rId215" Type="http://schemas.openxmlformats.org/officeDocument/2006/relationships/hyperlink" Target="https://api.qrserver.com/v1/create-qr-code/?size=100x100&amp;data=61519" TargetMode="External"/><Relationship Id="rId236" Type="http://schemas.openxmlformats.org/officeDocument/2006/relationships/image" Target="../media/image118.png"/><Relationship Id="rId257" Type="http://schemas.openxmlformats.org/officeDocument/2006/relationships/hyperlink" Target="https://api.qrserver.com/v1/create-qr-code/?size=100x100&amp;data=61571" TargetMode="External"/><Relationship Id="rId278" Type="http://schemas.openxmlformats.org/officeDocument/2006/relationships/image" Target="../media/image139.png"/><Relationship Id="rId401" Type="http://schemas.openxmlformats.org/officeDocument/2006/relationships/hyperlink" Target="https://api.qrserver.com/v1/create-qr-code/?size=100x100&amp;data=59550" TargetMode="External"/><Relationship Id="rId422" Type="http://schemas.openxmlformats.org/officeDocument/2006/relationships/image" Target="../media/image211.png"/><Relationship Id="rId443" Type="http://schemas.openxmlformats.org/officeDocument/2006/relationships/hyperlink" Target="https://api.qrserver.com/v1/create-qr-code/?size=100x100&amp;data=CH2/50VB" TargetMode="External"/><Relationship Id="rId303" Type="http://schemas.openxmlformats.org/officeDocument/2006/relationships/hyperlink" Target="https://api.qrserver.com/v1/create-qr-code/?size=100x100&amp;data=53987" TargetMode="External"/><Relationship Id="rId42" Type="http://schemas.openxmlformats.org/officeDocument/2006/relationships/image" Target="../media/image21.00"/><Relationship Id="rId84" Type="http://schemas.openxmlformats.org/officeDocument/2006/relationships/image" Target="../media/image42.01"/><Relationship Id="rId138" Type="http://schemas.openxmlformats.org/officeDocument/2006/relationships/image" Target="../media/image69.png"/><Relationship Id="rId345" Type="http://schemas.openxmlformats.org/officeDocument/2006/relationships/hyperlink" Target="https://api.qrserver.com/v1/create-qr-code/?size=100x100&amp;data=NM05-26.00" TargetMode="External"/><Relationship Id="rId387" Type="http://schemas.openxmlformats.org/officeDocument/2006/relationships/hyperlink" Target="https://api.qrserver.com/v1/create-qr-code/?size=100x100&amp;data=61434" TargetMode="External"/><Relationship Id="rId191" Type="http://schemas.openxmlformats.org/officeDocument/2006/relationships/hyperlink" Target="https://api.qrserver.com/v1/create-qr-code/?size=100x100&amp;data=NM15-11.00" TargetMode="External"/><Relationship Id="rId205" Type="http://schemas.openxmlformats.org/officeDocument/2006/relationships/hyperlink" Target="https://api.qrserver.com/v1/create-qr-code/?size=100x100&amp;data=65305" TargetMode="External"/><Relationship Id="rId247" Type="http://schemas.openxmlformats.org/officeDocument/2006/relationships/hyperlink" Target="https://api.qrserver.com/v1/create-qr-code/?size=100x100&amp;data=NM15-16.01" TargetMode="External"/><Relationship Id="rId412" Type="http://schemas.openxmlformats.org/officeDocument/2006/relationships/image" Target="../media/image206.00"/><Relationship Id="rId107" Type="http://schemas.openxmlformats.org/officeDocument/2006/relationships/hyperlink" Target="https://api.qrserver.com/v1/create-qr-code/?size=100x100&amp;data=61440" TargetMode="External"/><Relationship Id="rId289" Type="http://schemas.openxmlformats.org/officeDocument/2006/relationships/hyperlink" Target="https://api.qrserver.com/v1/create-qr-code/?size=100x100&amp;data=NM15-20.00" TargetMode="External"/><Relationship Id="rId11" Type="http://schemas.openxmlformats.org/officeDocument/2006/relationships/hyperlink" Target="https://api.qrserver.com/v1/create-qr-code/?size=100x100&amp;data=NM05-02.00" TargetMode="External"/><Relationship Id="rId53" Type="http://schemas.openxmlformats.org/officeDocument/2006/relationships/hyperlink" Target="https://api.qrserver.com/v1/create-qr-code/?size=100x100&amp;data=NM05-03.03" TargetMode="External"/><Relationship Id="rId149" Type="http://schemas.openxmlformats.org/officeDocument/2006/relationships/hyperlink" Target="https://api.qrserver.com/v1/create-qr-code/?size=100x100&amp;data=65416" TargetMode="External"/><Relationship Id="rId314" Type="http://schemas.openxmlformats.org/officeDocument/2006/relationships/image" Target="../media/image157.00"/><Relationship Id="rId356" Type="http://schemas.openxmlformats.org/officeDocument/2006/relationships/image" Target="../media/image178.00"/><Relationship Id="rId398" Type="http://schemas.openxmlformats.org/officeDocument/2006/relationships/image" Target="../media/image199.png"/><Relationship Id="rId95" Type="http://schemas.openxmlformats.org/officeDocument/2006/relationships/hyperlink" Target="https://api.qrserver.com/v1/create-qr-code/?size=100x100&amp;data=NM05-05.00" TargetMode="External"/><Relationship Id="rId160" Type="http://schemas.openxmlformats.org/officeDocument/2006/relationships/image" Target="../media/image80.png"/><Relationship Id="rId216" Type="http://schemas.openxmlformats.org/officeDocument/2006/relationships/image" Target="../media/image108.png"/><Relationship Id="rId423" Type="http://schemas.openxmlformats.org/officeDocument/2006/relationships/hyperlink" Target="https://api.qrserver.com/v1/create-qr-code/?size=100x100&amp;data=24580001" TargetMode="External"/><Relationship Id="rId258" Type="http://schemas.openxmlformats.org/officeDocument/2006/relationships/image" Target="../media/image129.png"/><Relationship Id="rId22" Type="http://schemas.openxmlformats.org/officeDocument/2006/relationships/image" Target="../media/image11.png"/><Relationship Id="rId64" Type="http://schemas.openxmlformats.org/officeDocument/2006/relationships/image" Target="../media/image32.01"/><Relationship Id="rId118" Type="http://schemas.openxmlformats.org/officeDocument/2006/relationships/image" Target="../media/image59.00"/><Relationship Id="rId325" Type="http://schemas.openxmlformats.org/officeDocument/2006/relationships/hyperlink" Target="https://api.qrserver.com/v1/create-qr-code/?size=100x100&amp;data=NM20-23.00" TargetMode="External"/><Relationship Id="rId367" Type="http://schemas.openxmlformats.org/officeDocument/2006/relationships/hyperlink" Target="https://api.qrserver.com/v1/create-qr-code/?size=100x100&amp;data=NM15-28.01" TargetMode="External"/><Relationship Id="rId171" Type="http://schemas.openxmlformats.org/officeDocument/2006/relationships/hyperlink" Target="https://api.qrserver.com/v1/create-qr-code/?size=100x100&amp;data=59979" TargetMode="External"/><Relationship Id="rId227" Type="http://schemas.openxmlformats.org/officeDocument/2006/relationships/hyperlink" Target="https://api.qrserver.com/v1/create-qr-code/?size=100x100&amp;data=61597" TargetMode="External"/><Relationship Id="rId269" Type="http://schemas.openxmlformats.org/officeDocument/2006/relationships/hyperlink" Target="https://api.qrserver.com/v1/create-qr-code/?size=100x100&amp;data=NM15-18.01" TargetMode="External"/><Relationship Id="rId434" Type="http://schemas.openxmlformats.org/officeDocument/2006/relationships/image" Target="../media/image217.png"/><Relationship Id="rId33" Type="http://schemas.openxmlformats.org/officeDocument/2006/relationships/hyperlink" Target="https://api.qrserver.com/v1/create-qr-code/?size=100x100&amp;data=65324" TargetMode="External"/><Relationship Id="rId129" Type="http://schemas.openxmlformats.org/officeDocument/2006/relationships/hyperlink" Target="https://api.qrserver.com/v1/create-qr-code/?size=100x100&amp;data=NM15-06.00" TargetMode="External"/><Relationship Id="rId280" Type="http://schemas.openxmlformats.org/officeDocument/2006/relationships/image" Target="../media/image140.01"/><Relationship Id="rId336" Type="http://schemas.openxmlformats.org/officeDocument/2006/relationships/image" Target="../media/image168.png"/><Relationship Id="rId75" Type="http://schemas.openxmlformats.org/officeDocument/2006/relationships/hyperlink" Target="https://api.qrserver.com/v1/create-qr-code/?size=100x100&amp;data=NM10-04.01" TargetMode="External"/><Relationship Id="rId140" Type="http://schemas.openxmlformats.org/officeDocument/2006/relationships/image" Target="../media/image70.png"/><Relationship Id="rId182" Type="http://schemas.openxmlformats.org/officeDocument/2006/relationships/image" Target="../media/image91.00"/><Relationship Id="rId378" Type="http://schemas.openxmlformats.org/officeDocument/2006/relationships/image" Target="../media/image189.01"/><Relationship Id="rId403" Type="http://schemas.openxmlformats.org/officeDocument/2006/relationships/hyperlink" Target="https://api.qrserver.com/v1/create-qr-code/?size=100x100&amp;data=NM15-32.00" TargetMode="External"/><Relationship Id="rId6" Type="http://schemas.openxmlformats.org/officeDocument/2006/relationships/image" Target="../media/image3.00"/><Relationship Id="rId238" Type="http://schemas.openxmlformats.org/officeDocument/2006/relationships/image" Target="../media/image119.png"/><Relationship Id="rId445" Type="http://schemas.openxmlformats.org/officeDocument/2006/relationships/hyperlink" Target="https://api.qrserver.com/v1/create-qr-code/?size=100x100&amp;data=18950002" TargetMode="External"/><Relationship Id="rId291" Type="http://schemas.openxmlformats.org/officeDocument/2006/relationships/hyperlink" Target="https://api.qrserver.com/v1/create-qr-code/?size=100x100&amp;data=65358" TargetMode="External"/><Relationship Id="rId305" Type="http://schemas.openxmlformats.org/officeDocument/2006/relationships/hyperlink" Target="https://api.qrserver.com/v1/create-qr-code/?size=100x100&amp;data=NM15-21.00" TargetMode="External"/><Relationship Id="rId347" Type="http://schemas.openxmlformats.org/officeDocument/2006/relationships/hyperlink" Target="https://api.qrserver.com/v1/create-qr-code/?size=100x100&amp;data=49914" TargetMode="External"/><Relationship Id="rId44" Type="http://schemas.openxmlformats.org/officeDocument/2006/relationships/image" Target="../media/image22.png"/><Relationship Id="rId86" Type="http://schemas.openxmlformats.org/officeDocument/2006/relationships/image" Target="../media/image43.png"/><Relationship Id="rId151" Type="http://schemas.openxmlformats.org/officeDocument/2006/relationships/hyperlink" Target="https://api.qrserver.com/v1/create-qr-code/?size=100x100&amp;data=NM15-07.01" TargetMode="External"/><Relationship Id="rId389" Type="http://schemas.openxmlformats.org/officeDocument/2006/relationships/hyperlink" Target="https://api.qrserver.com/v1/create-qr-code/?size=100x100&amp;data=NM05-32.00" TargetMode="External"/><Relationship Id="rId193" Type="http://schemas.openxmlformats.org/officeDocument/2006/relationships/hyperlink" Target="https://api.qrserver.com/v1/create-qr-code/?size=100x100&amp;data=61659" TargetMode="External"/><Relationship Id="rId207" Type="http://schemas.openxmlformats.org/officeDocument/2006/relationships/hyperlink" Target="https://api.qrserver.com/v1/create-qr-code/?size=100x100&amp;data=NM20-12.00" TargetMode="External"/><Relationship Id="rId249" Type="http://schemas.openxmlformats.org/officeDocument/2006/relationships/hyperlink" Target="https://api.qrserver.com/v1/create-qr-code/?size=100x100&amp;data=61628" TargetMode="External"/><Relationship Id="rId414" Type="http://schemas.openxmlformats.org/officeDocument/2006/relationships/image" Target="../media/image207.00"/><Relationship Id="rId13" Type="http://schemas.openxmlformats.org/officeDocument/2006/relationships/hyperlink" Target="https://api.qrserver.com/v1/create-qr-code/?size=100x100&amp;data=58733" TargetMode="External"/><Relationship Id="rId109" Type="http://schemas.openxmlformats.org/officeDocument/2006/relationships/hyperlink" Target="https://api.qrserver.com/v1/create-qr-code/?size=100x100&amp;data=NM15-05.01" TargetMode="External"/><Relationship Id="rId260" Type="http://schemas.openxmlformats.org/officeDocument/2006/relationships/image" Target="../media/image130.01"/><Relationship Id="rId316" Type="http://schemas.openxmlformats.org/officeDocument/2006/relationships/image" Target="../media/image158.png"/><Relationship Id="rId55" Type="http://schemas.openxmlformats.org/officeDocument/2006/relationships/hyperlink" Target="https://api.qrserver.com/v1/create-qr-code/?size=100x100&amp;data=59648" TargetMode="External"/><Relationship Id="rId97" Type="http://schemas.openxmlformats.org/officeDocument/2006/relationships/hyperlink" Target="https://api.qrserver.com/v1/create-qr-code/?size=100x100&amp;data=59949" TargetMode="External"/><Relationship Id="rId120" Type="http://schemas.openxmlformats.org/officeDocument/2006/relationships/image" Target="../media/image60.00"/><Relationship Id="rId358" Type="http://schemas.openxmlformats.org/officeDocument/2006/relationships/image" Target="../media/image179.png"/><Relationship Id="rId162" Type="http://schemas.openxmlformats.org/officeDocument/2006/relationships/image" Target="../media/image81.00"/><Relationship Id="rId218" Type="http://schemas.openxmlformats.org/officeDocument/2006/relationships/image" Target="../media/image109.png"/><Relationship Id="rId425" Type="http://schemas.openxmlformats.org/officeDocument/2006/relationships/hyperlink" Target="https://api.qrserver.com/v1/create-qr-code/?size=100x100&amp;data=A221030545/2" TargetMode="External"/><Relationship Id="rId271" Type="http://schemas.openxmlformats.org/officeDocument/2006/relationships/hyperlink" Target="https://api.qrserver.com/v1/create-qr-code/?size=100x100&amp;data=65326" TargetMode="External"/><Relationship Id="rId24" Type="http://schemas.openxmlformats.org/officeDocument/2006/relationships/image" Target="../media/image12.01"/><Relationship Id="rId66" Type="http://schemas.openxmlformats.org/officeDocument/2006/relationships/image" Target="../media/image33.png"/><Relationship Id="rId131" Type="http://schemas.openxmlformats.org/officeDocument/2006/relationships/hyperlink" Target="https://api.qrserver.com/v1/create-qr-code/?size=100x100&amp;data=61428" TargetMode="External"/><Relationship Id="rId327" Type="http://schemas.openxmlformats.org/officeDocument/2006/relationships/hyperlink" Target="https://api.qrserver.com/v1/create-qr-code/?size=100x100&amp;data=NM15-24.00" TargetMode="External"/><Relationship Id="rId369" Type="http://schemas.openxmlformats.org/officeDocument/2006/relationships/hyperlink" Target="https://api.qrserver.com/v1/create-qr-code/?size=100x100&amp;data=61639" TargetMode="External"/><Relationship Id="rId173" Type="http://schemas.openxmlformats.org/officeDocument/2006/relationships/hyperlink" Target="https://api.qrserver.com/v1/create-qr-code/?size=100x100&amp;data=NM10-09.00" TargetMode="External"/><Relationship Id="rId229" Type="http://schemas.openxmlformats.org/officeDocument/2006/relationships/hyperlink" Target="https://api.qrserver.com/v1/create-qr-code/?size=100x100&amp;data=65369" TargetMode="External"/><Relationship Id="rId380" Type="http://schemas.openxmlformats.org/officeDocument/2006/relationships/image" Target="../media/image190.01"/><Relationship Id="rId436" Type="http://schemas.openxmlformats.org/officeDocument/2006/relationships/image" Target="../media/image218.png"/><Relationship Id="rId240" Type="http://schemas.openxmlformats.org/officeDocument/2006/relationships/image" Target="../media/image120.00"/><Relationship Id="rId35" Type="http://schemas.openxmlformats.org/officeDocument/2006/relationships/hyperlink" Target="https://api.qrserver.com/v1/create-qr-code/?size=100x100&amp;data=NM20-02.00" TargetMode="External"/><Relationship Id="rId77" Type="http://schemas.openxmlformats.org/officeDocument/2006/relationships/hyperlink" Target="https://api.qrserver.com/v1/create-qr-code/?size=100x100&amp;data=59630" TargetMode="External"/><Relationship Id="rId100" Type="http://schemas.openxmlformats.org/officeDocument/2006/relationships/image" Target="../media/image50.png"/><Relationship Id="rId282" Type="http://schemas.openxmlformats.org/officeDocument/2006/relationships/image" Target="../media/image141.png"/><Relationship Id="rId338" Type="http://schemas.openxmlformats.org/officeDocument/2006/relationships/image" Target="../media/image169.png"/><Relationship Id="rId8" Type="http://schemas.openxmlformats.org/officeDocument/2006/relationships/image" Target="../media/image4.png"/><Relationship Id="rId142" Type="http://schemas.openxmlformats.org/officeDocument/2006/relationships/image" Target="../media/image71.00"/><Relationship Id="rId184" Type="http://schemas.openxmlformats.org/officeDocument/2006/relationships/image" Target="../media/image92.png"/><Relationship Id="rId391" Type="http://schemas.openxmlformats.org/officeDocument/2006/relationships/hyperlink" Target="https://api.qrserver.com/v1/create-qr-code/?size=100x100&amp;data=NM05-32.01" TargetMode="External"/><Relationship Id="rId405" Type="http://schemas.openxmlformats.org/officeDocument/2006/relationships/hyperlink" Target="https://api.qrserver.com/v1/create-qr-code/?size=100x100&amp;data=61455" TargetMode="External"/><Relationship Id="rId251" Type="http://schemas.openxmlformats.org/officeDocument/2006/relationships/hyperlink" Target="https://api.qrserver.com/v1/create-qr-code/?size=100x100&amp;data=65338" TargetMode="External"/><Relationship Id="rId46" Type="http://schemas.openxmlformats.org/officeDocument/2006/relationships/image" Target="../media/image23.png"/><Relationship Id="rId293" Type="http://schemas.openxmlformats.org/officeDocument/2006/relationships/hyperlink" Target="https://api.qrserver.com/v1/create-qr-code/?size=100x100&amp;data=NM15-20.01" TargetMode="External"/><Relationship Id="rId307" Type="http://schemas.openxmlformats.org/officeDocument/2006/relationships/hyperlink" Target="https://api.qrserver.com/v1/create-qr-code/?size=100x100&amp;data=61669" TargetMode="External"/><Relationship Id="rId349" Type="http://schemas.openxmlformats.org/officeDocument/2006/relationships/hyperlink" Target="https://api.qrserver.com/v1/create-qr-code/?size=100x100&amp;data=NM15-26.00" TargetMode="External"/><Relationship Id="rId88" Type="http://schemas.openxmlformats.org/officeDocument/2006/relationships/image" Target="../media/image44.png"/><Relationship Id="rId111" Type="http://schemas.openxmlformats.org/officeDocument/2006/relationships/hyperlink" Target="https://api.qrserver.com/v1/create-qr-code/?size=100x100&amp;data=61561" TargetMode="External"/><Relationship Id="rId153" Type="http://schemas.openxmlformats.org/officeDocument/2006/relationships/hyperlink" Target="https://api.qrserver.com/v1/create-qr-code/?size=100x100&amp;data=NM10-08.00" TargetMode="External"/><Relationship Id="rId195" Type="http://schemas.openxmlformats.org/officeDocument/2006/relationships/hyperlink" Target="https://api.qrserver.com/v1/create-qr-code/?size=100x100&amp;data=NM15-11.01" TargetMode="External"/><Relationship Id="rId209" Type="http://schemas.openxmlformats.org/officeDocument/2006/relationships/hyperlink" Target="https://api.qrserver.com/v1/create-qr-code/?size=100x100&amp;data=NM20-12.01" TargetMode="External"/><Relationship Id="rId360" Type="http://schemas.openxmlformats.org/officeDocument/2006/relationships/image" Target="../media/image180.00"/><Relationship Id="rId416" Type="http://schemas.openxmlformats.org/officeDocument/2006/relationships/image" Target="../media/image208.png"/><Relationship Id="rId220" Type="http://schemas.openxmlformats.org/officeDocument/2006/relationships/image" Target="../media/image110.00"/><Relationship Id="rId15" Type="http://schemas.openxmlformats.org/officeDocument/2006/relationships/hyperlink" Target="https://api.qrserver.com/v1/create-qr-code/?size=100x100&amp;data=59839" TargetMode="External"/><Relationship Id="rId57" Type="http://schemas.openxmlformats.org/officeDocument/2006/relationships/hyperlink" Target="https://api.qrserver.com/v1/create-qr-code/?size=100x100&amp;data=NM15-03.00" TargetMode="External"/><Relationship Id="rId262" Type="http://schemas.openxmlformats.org/officeDocument/2006/relationships/image" Target="../media/image131.01"/><Relationship Id="rId318" Type="http://schemas.openxmlformats.org/officeDocument/2006/relationships/image" Target="../media/image159.01"/><Relationship Id="rId99" Type="http://schemas.openxmlformats.org/officeDocument/2006/relationships/hyperlink" Target="https://api.qrserver.com/v1/create-qr-code/?size=100x100&amp;data=61660" TargetMode="External"/><Relationship Id="rId122" Type="http://schemas.openxmlformats.org/officeDocument/2006/relationships/image" Target="../media/image61.png"/><Relationship Id="rId164" Type="http://schemas.openxmlformats.org/officeDocument/2006/relationships/image" Target="../media/image82.png"/><Relationship Id="rId371" Type="http://schemas.openxmlformats.org/officeDocument/2006/relationships/hyperlink" Target="https://api.qrserver.com/v1/create-qr-code/?size=100x100&amp;data=NM15-29.00" TargetMode="External"/><Relationship Id="rId427" Type="http://schemas.openxmlformats.org/officeDocument/2006/relationships/hyperlink" Target="https://api.qrserver.com/v1/create-qr-code/?size=100x100&amp;data=CH2/50PN" TargetMode="External"/><Relationship Id="rId26" Type="http://schemas.openxmlformats.org/officeDocument/2006/relationships/image" Target="../media/image13.00"/><Relationship Id="rId231" Type="http://schemas.openxmlformats.org/officeDocument/2006/relationships/hyperlink" Target="https://api.qrserver.com/v1/create-qr-code/?size=100x100&amp;data=NM20-14.01" TargetMode="External"/><Relationship Id="rId273" Type="http://schemas.openxmlformats.org/officeDocument/2006/relationships/hyperlink" Target="https://api.qrserver.com/v1/create-qr-code/?size=100x100&amp;data=NM15.19.02" TargetMode="External"/><Relationship Id="rId329" Type="http://schemas.openxmlformats.org/officeDocument/2006/relationships/hyperlink" Target="https://api.qrserver.com/v1/create-qr-code/?size=100x100&amp;data=61554" TargetMode="External"/><Relationship Id="rId68" Type="http://schemas.openxmlformats.org/officeDocument/2006/relationships/image" Target="../media/image34.00"/><Relationship Id="rId133" Type="http://schemas.openxmlformats.org/officeDocument/2006/relationships/hyperlink" Target="https://api.qrserver.com/v1/create-qr-code/?size=100x100&amp;data=63432" TargetMode="External"/><Relationship Id="rId175" Type="http://schemas.openxmlformats.org/officeDocument/2006/relationships/hyperlink" Target="https://api.qrserver.com/v1/create-qr-code/?size=100x100&amp;data=59176" TargetMode="External"/><Relationship Id="rId340" Type="http://schemas.openxmlformats.org/officeDocument/2006/relationships/image" Target="../media/image170.png"/><Relationship Id="rId200" Type="http://schemas.openxmlformats.org/officeDocument/2006/relationships/image" Target="../media/image100.00"/><Relationship Id="rId382" Type="http://schemas.openxmlformats.org/officeDocument/2006/relationships/image" Target="../media/image191.00"/><Relationship Id="rId438" Type="http://schemas.openxmlformats.org/officeDocument/2006/relationships/image" Target="../media/image219.png"/><Relationship Id="rId242" Type="http://schemas.openxmlformats.org/officeDocument/2006/relationships/image" Target="../media/image121.00"/><Relationship Id="rId284" Type="http://schemas.openxmlformats.org/officeDocument/2006/relationships/image" Target="../media/image142.png"/><Relationship Id="rId37" Type="http://schemas.openxmlformats.org/officeDocument/2006/relationships/hyperlink" Target="https://api.qrserver.com/v1/create-qr-code/?size=100x100&amp;data=NM34-02.00" TargetMode="External"/><Relationship Id="rId79" Type="http://schemas.openxmlformats.org/officeDocument/2006/relationships/hyperlink" Target="https://api.qrserver.com/v1/create-qr-code/?size=100x100&amp;data=NM15-04.00" TargetMode="External"/><Relationship Id="rId102" Type="http://schemas.openxmlformats.org/officeDocument/2006/relationships/image" Target="../media/image51.00"/><Relationship Id="rId144" Type="http://schemas.openxmlformats.org/officeDocument/2006/relationships/image" Target="../media/image72.png"/><Relationship Id="rId90" Type="http://schemas.openxmlformats.org/officeDocument/2006/relationships/image" Target="../media/image45.02"/><Relationship Id="rId186" Type="http://schemas.openxmlformats.org/officeDocument/2006/relationships/image" Target="../media/image93.00"/><Relationship Id="rId351" Type="http://schemas.openxmlformats.org/officeDocument/2006/relationships/hyperlink" Target="https://api.qrserver.com/v1/create-qr-code/?size=100x100&amp;data=61551" TargetMode="External"/><Relationship Id="rId393" Type="http://schemas.openxmlformats.org/officeDocument/2006/relationships/hyperlink" Target="https://api.qrserver.com/v1/create-qr-code/?size=100x100&amp;data=59815" TargetMode="External"/><Relationship Id="rId407" Type="http://schemas.openxmlformats.org/officeDocument/2006/relationships/hyperlink" Target="https://api.qrserver.com/v1/create-qr-code/?size=100x100&amp;data=NM15-32.02" TargetMode="External"/><Relationship Id="rId211" Type="http://schemas.openxmlformats.org/officeDocument/2006/relationships/hyperlink" Target="https://api.qrserver.com/v1/create-qr-code/?size=100x100&amp;data=NM34-12.00" TargetMode="External"/><Relationship Id="rId253" Type="http://schemas.openxmlformats.org/officeDocument/2006/relationships/hyperlink" Target="https://api.qrserver.com/v1/create-qr-code/?size=100x100&amp;data=NM20-16.00" TargetMode="External"/><Relationship Id="rId295" Type="http://schemas.openxmlformats.org/officeDocument/2006/relationships/hyperlink" Target="https://api.qrserver.com/v1/create-qr-code/?size=100x100&amp;data=61652" TargetMode="External"/><Relationship Id="rId309" Type="http://schemas.openxmlformats.org/officeDocument/2006/relationships/hyperlink" Target="https://api.qrserver.com/v1/create-qr-code/?size=100x100&amp;data=NM15-21.01" TargetMode="External"/><Relationship Id="rId48" Type="http://schemas.openxmlformats.org/officeDocument/2006/relationships/image" Target="../media/image24.01"/><Relationship Id="rId113" Type="http://schemas.openxmlformats.org/officeDocument/2006/relationships/hyperlink" Target="https://api.qrserver.com/v1/create-qr-code/?size=100x100&amp;data=65415" TargetMode="External"/><Relationship Id="rId320" Type="http://schemas.openxmlformats.org/officeDocument/2006/relationships/image" Target="../media/image160.01"/><Relationship Id="rId155" Type="http://schemas.openxmlformats.org/officeDocument/2006/relationships/hyperlink" Target="https://api.qrserver.com/v1/create-qr-code/?size=100x100&amp;data=61463" TargetMode="External"/><Relationship Id="rId197" Type="http://schemas.openxmlformats.org/officeDocument/2006/relationships/hyperlink" Target="https://api.qrserver.com/v1/create-qr-code/?size=100x100&amp;data=54771" TargetMode="External"/><Relationship Id="rId362" Type="http://schemas.openxmlformats.org/officeDocument/2006/relationships/image" Target="../media/image181.png"/><Relationship Id="rId418" Type="http://schemas.openxmlformats.org/officeDocument/2006/relationships/image" Target="../media/image209.png"/><Relationship Id="rId222" Type="http://schemas.openxmlformats.org/officeDocument/2006/relationships/image" Target="../media/image111.00"/><Relationship Id="rId264" Type="http://schemas.openxmlformats.org/officeDocument/2006/relationships/image" Target="../media/image132.png"/><Relationship Id="rId17" Type="http://schemas.openxmlformats.org/officeDocument/2006/relationships/hyperlink" Target="https://api.qrserver.com/v1/create-qr-code/?size=100x100&amp;data=60083" TargetMode="External"/><Relationship Id="rId59" Type="http://schemas.openxmlformats.org/officeDocument/2006/relationships/hyperlink" Target="https://api.qrserver.com/v1/create-qr-code/?size=100x100&amp;data=61559" TargetMode="External"/><Relationship Id="rId124" Type="http://schemas.openxmlformats.org/officeDocument/2006/relationships/image" Target="../media/image62.00"/><Relationship Id="rId70" Type="http://schemas.openxmlformats.org/officeDocument/2006/relationships/image" Target="../media/image35.00"/><Relationship Id="rId166" Type="http://schemas.openxmlformats.org/officeDocument/2006/relationships/image" Target="../media/image83.00"/><Relationship Id="rId331" Type="http://schemas.openxmlformats.org/officeDocument/2006/relationships/hyperlink" Target="https://api.qrserver.com/v1/create-qr-code/?size=100x100&amp;data=NM15-24.01" TargetMode="External"/><Relationship Id="rId373" Type="http://schemas.openxmlformats.org/officeDocument/2006/relationships/hyperlink" Target="https://api.qrserver.com/v1/create-qr-code/?size=100x100&amp;data=61549" TargetMode="External"/><Relationship Id="rId429" Type="http://schemas.openxmlformats.org/officeDocument/2006/relationships/hyperlink" Target="https://api.qrserver.com/v1/create-qr-code/?size=100x100&amp;data=400722.5" TargetMode="External"/><Relationship Id="rId1" Type="http://schemas.openxmlformats.org/officeDocument/2006/relationships/hyperlink" Target="https://api.qrserver.com/v1/create-qr-code/?size=100x100&amp;data=NM05-01.00" TargetMode="External"/><Relationship Id="rId233" Type="http://schemas.openxmlformats.org/officeDocument/2006/relationships/hyperlink" Target="https://api.qrserver.com/v1/create-qr-code/?size=100x100&amp;data=NM15-15.00" TargetMode="External"/><Relationship Id="rId440" Type="http://schemas.openxmlformats.org/officeDocument/2006/relationships/image" Target="../media/image220.png"/><Relationship Id="rId28" Type="http://schemas.openxmlformats.org/officeDocument/2006/relationships/image" Target="../media/image14.00"/><Relationship Id="rId275" Type="http://schemas.openxmlformats.org/officeDocument/2006/relationships/hyperlink" Target="https://api.qrserver.com/v1/create-qr-code/?size=100x100&amp;data=NM15-19.00" TargetMode="External"/><Relationship Id="rId300" Type="http://schemas.openxmlformats.org/officeDocument/2006/relationships/image" Target="../media/image150.01"/><Relationship Id="rId81" Type="http://schemas.openxmlformats.org/officeDocument/2006/relationships/hyperlink" Target="https://api.qrserver.com/v1/create-qr-code/?size=100x100&amp;data=65370" TargetMode="External"/><Relationship Id="rId135" Type="http://schemas.openxmlformats.org/officeDocument/2006/relationships/hyperlink" Target="https://api.qrserver.com/v1/create-qr-code/?size=100x100&amp;data=NM05-07.00" TargetMode="External"/><Relationship Id="rId177" Type="http://schemas.openxmlformats.org/officeDocument/2006/relationships/hyperlink" Target="https://api.qrserver.com/v1/create-qr-code/?size=100x100&amp;data=NM14-09.00" TargetMode="External"/><Relationship Id="rId342" Type="http://schemas.openxmlformats.org/officeDocument/2006/relationships/image" Target="../media/image171.01"/><Relationship Id="rId384" Type="http://schemas.openxmlformats.org/officeDocument/2006/relationships/image" Target="../media/image192.png"/><Relationship Id="rId202" Type="http://schemas.openxmlformats.org/officeDocument/2006/relationships/image" Target="../media/image101.00"/><Relationship Id="rId244" Type="http://schemas.openxmlformats.org/officeDocument/2006/relationships/image" Target="../media/image122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webimage">
      <keyFlags>
        <key name="WebImageIdentifier">
          <flag name="ShowInCardView" value="0"/>
        </key>
      </keyFlags>
    </type>
  </types>
</rvTypesInfo>
</file>

<file path=xl/richData/rdRichValueWebImage.xml><?xml version="1.0" encoding="utf-8"?>
<webImagesSrd xmlns="http://schemas.microsoft.com/office/spreadsheetml/2020/richdatawebimage" xmlns:r="http://schemas.openxmlformats.org/officeDocument/2006/relationships">
  <webImageSrd>
    <address r:id="rId1"/>
    <blip r:id="rId2"/>
  </webImageSrd>
  <webImageSrd>
    <address r:id="rId3"/>
    <blip r:id="rId4"/>
  </webImageSrd>
  <webImageSrd>
    <address r:id="rId5"/>
    <blip r:id="rId6"/>
  </webImageSrd>
  <webImageSrd>
    <address r:id="rId7"/>
    <blip r:id="rId8"/>
  </webImageSrd>
  <webImageSrd>
    <address r:id="rId9"/>
    <blip r:id="rId10"/>
  </webImageSrd>
  <webImageSrd>
    <address r:id="rId11"/>
    <blip r:id="rId12"/>
  </webImageSrd>
  <webImageSrd>
    <address r:id="rId13"/>
    <blip r:id="rId14"/>
  </webImageSrd>
  <webImageSrd>
    <address r:id="rId15"/>
    <blip r:id="rId16"/>
  </webImageSrd>
  <webImageSrd>
    <address r:id="rId17"/>
    <blip r:id="rId18"/>
  </webImageSrd>
  <webImageSrd>
    <address r:id="rId19"/>
    <blip r:id="rId20"/>
  </webImageSrd>
  <webImageSrd>
    <address r:id="rId21"/>
    <blip r:id="rId22"/>
  </webImageSrd>
  <webImageSrd>
    <address r:id="rId23"/>
    <blip r:id="rId24"/>
  </webImageSrd>
  <webImageSrd>
    <address r:id="rId25"/>
    <blip r:id="rId26"/>
  </webImageSrd>
  <webImageSrd>
    <address r:id="rId27"/>
    <blip r:id="rId28"/>
  </webImageSrd>
  <webImageSrd>
    <address r:id="rId29"/>
    <blip r:id="rId30"/>
  </webImageSrd>
  <webImageSrd>
    <address r:id="rId31"/>
    <blip r:id="rId32"/>
  </webImageSrd>
  <webImageSrd>
    <address r:id="rId33"/>
    <blip r:id="rId34"/>
  </webImageSrd>
  <webImageSrd>
    <address r:id="rId35"/>
    <blip r:id="rId36"/>
  </webImageSrd>
  <webImageSrd>
    <address r:id="rId37"/>
    <blip r:id="rId38"/>
  </webImageSrd>
  <webImageSrd>
    <address r:id="rId39"/>
    <blip r:id="rId40"/>
  </webImageSrd>
  <webImageSrd>
    <address r:id="rId41"/>
    <blip r:id="rId42"/>
  </webImageSrd>
  <webImageSrd>
    <address r:id="rId43"/>
    <blip r:id="rId44"/>
  </webImageSrd>
  <webImageSrd>
    <address r:id="rId45"/>
    <blip r:id="rId46"/>
  </webImageSrd>
  <webImageSrd>
    <address r:id="rId47"/>
    <blip r:id="rId48"/>
  </webImageSrd>
  <webImageSrd>
    <address r:id="rId49"/>
    <blip r:id="rId50"/>
  </webImageSrd>
  <webImageSrd>
    <address r:id="rId51"/>
    <blip r:id="rId52"/>
  </webImageSrd>
  <webImageSrd>
    <address r:id="rId53"/>
    <blip r:id="rId54"/>
  </webImageSrd>
  <webImageSrd>
    <address r:id="rId55"/>
    <blip r:id="rId56"/>
  </webImageSrd>
  <webImageSrd>
    <address r:id="rId57"/>
    <blip r:id="rId58"/>
  </webImageSrd>
  <webImageSrd>
    <address r:id="rId59"/>
    <blip r:id="rId60"/>
  </webImageSrd>
  <webImageSrd>
    <address r:id="rId61"/>
    <blip r:id="rId62"/>
  </webImageSrd>
  <webImageSrd>
    <address r:id="rId63"/>
    <blip r:id="rId64"/>
  </webImageSrd>
  <webImageSrd>
    <address r:id="rId65"/>
    <blip r:id="rId66"/>
  </webImageSrd>
  <webImageSrd>
    <address r:id="rId67"/>
    <blip r:id="rId68"/>
  </webImageSrd>
  <webImageSrd>
    <address r:id="rId69"/>
    <blip r:id="rId70"/>
  </webImageSrd>
  <webImageSrd>
    <address r:id="rId71"/>
    <blip r:id="rId72"/>
  </webImageSrd>
  <webImageSrd>
    <address r:id="rId73"/>
    <blip r:id="rId74"/>
  </webImageSrd>
  <webImageSrd>
    <address r:id="rId75"/>
    <blip r:id="rId76"/>
  </webImageSrd>
  <webImageSrd>
    <address r:id="rId77"/>
    <blip r:id="rId78"/>
  </webImageSrd>
  <webImageSrd>
    <address r:id="rId79"/>
    <blip r:id="rId80"/>
  </webImageSrd>
  <webImageSrd>
    <address r:id="rId81"/>
    <blip r:id="rId82"/>
  </webImageSrd>
  <webImageSrd>
    <address r:id="rId83"/>
    <blip r:id="rId84"/>
  </webImageSrd>
  <webImageSrd>
    <address r:id="rId85"/>
    <blip r:id="rId86"/>
  </webImageSrd>
  <webImageSrd>
    <address r:id="rId87"/>
    <blip r:id="rId88"/>
  </webImageSrd>
  <webImageSrd>
    <address r:id="rId89"/>
    <blip r:id="rId90"/>
  </webImageSrd>
  <webImageSrd>
    <address r:id="rId91"/>
    <blip r:id="rId92"/>
  </webImageSrd>
  <webImageSrd>
    <address r:id="rId93"/>
    <blip r:id="rId94"/>
  </webImageSrd>
  <webImageSrd>
    <address r:id="rId95"/>
    <blip r:id="rId96"/>
  </webImageSrd>
  <webImageSrd>
    <address r:id="rId97"/>
    <blip r:id="rId98"/>
  </webImageSrd>
  <webImageSrd>
    <address r:id="rId99"/>
    <blip r:id="rId100"/>
  </webImageSrd>
  <webImageSrd>
    <address r:id="rId101"/>
    <blip r:id="rId102"/>
  </webImageSrd>
  <webImageSrd>
    <address r:id="rId103"/>
    <blip r:id="rId104"/>
  </webImageSrd>
  <webImageSrd>
    <address r:id="rId105"/>
    <blip r:id="rId106"/>
  </webImageSrd>
  <webImageSrd>
    <address r:id="rId107"/>
    <blip r:id="rId108"/>
  </webImageSrd>
  <webImageSrd>
    <address r:id="rId109"/>
    <blip r:id="rId110"/>
  </webImageSrd>
  <webImageSrd>
    <address r:id="rId111"/>
    <blip r:id="rId112"/>
  </webImageSrd>
  <webImageSrd>
    <address r:id="rId113"/>
    <blip r:id="rId114"/>
  </webImageSrd>
  <webImageSrd>
    <address r:id="rId115"/>
    <blip r:id="rId116"/>
  </webImageSrd>
  <webImageSrd>
    <address r:id="rId117"/>
    <blip r:id="rId118"/>
  </webImageSrd>
  <webImageSrd>
    <address r:id="rId119"/>
    <blip r:id="rId120"/>
  </webImageSrd>
  <webImageSrd>
    <address r:id="rId121"/>
    <blip r:id="rId122"/>
  </webImageSrd>
  <webImageSrd>
    <address r:id="rId123"/>
    <blip r:id="rId124"/>
  </webImageSrd>
  <webImageSrd>
    <address r:id="rId125"/>
    <blip r:id="rId126"/>
  </webImageSrd>
  <webImageSrd>
    <address r:id="rId127"/>
    <blip r:id="rId128"/>
  </webImageSrd>
  <webImageSrd>
    <address r:id="rId129"/>
    <blip r:id="rId130"/>
  </webImageSrd>
  <webImageSrd>
    <address r:id="rId131"/>
    <blip r:id="rId132"/>
  </webImageSrd>
  <webImageSrd>
    <address r:id="rId133"/>
    <blip r:id="rId134"/>
  </webImageSrd>
  <webImageSrd>
    <address r:id="rId135"/>
    <blip r:id="rId136"/>
  </webImageSrd>
  <webImageSrd>
    <address r:id="rId137"/>
    <blip r:id="rId138"/>
  </webImageSrd>
  <webImageSrd>
    <address r:id="rId139"/>
    <blip r:id="rId140"/>
  </webImageSrd>
  <webImageSrd>
    <address r:id="rId141"/>
    <blip r:id="rId142"/>
  </webImageSrd>
  <webImageSrd>
    <address r:id="rId143"/>
    <blip r:id="rId144"/>
  </webImageSrd>
  <webImageSrd>
    <address r:id="rId145"/>
    <blip r:id="rId146"/>
  </webImageSrd>
  <webImageSrd>
    <address r:id="rId147"/>
    <blip r:id="rId148"/>
  </webImageSrd>
  <webImageSrd>
    <address r:id="rId149"/>
    <blip r:id="rId150"/>
  </webImageSrd>
  <webImageSrd>
    <address r:id="rId151"/>
    <blip r:id="rId152"/>
  </webImageSrd>
  <webImageSrd>
    <address r:id="rId153"/>
    <blip r:id="rId154"/>
  </webImageSrd>
  <webImageSrd>
    <address r:id="rId155"/>
    <blip r:id="rId156"/>
  </webImageSrd>
  <webImageSrd>
    <address r:id="rId157"/>
    <blip r:id="rId158"/>
  </webImageSrd>
  <webImageSrd>
    <address r:id="rId159"/>
    <blip r:id="rId160"/>
  </webImageSrd>
  <webImageSrd>
    <address r:id="rId161"/>
    <blip r:id="rId162"/>
  </webImageSrd>
  <webImageSrd>
    <address r:id="rId163"/>
    <blip r:id="rId164"/>
  </webImageSrd>
  <webImageSrd>
    <address r:id="rId165"/>
    <blip r:id="rId166"/>
  </webImageSrd>
  <webImageSrd>
    <address r:id="rId167"/>
    <blip r:id="rId168"/>
  </webImageSrd>
  <webImageSrd>
    <address r:id="rId169"/>
    <blip r:id="rId170"/>
  </webImageSrd>
  <webImageSrd>
    <address r:id="rId171"/>
    <blip r:id="rId172"/>
  </webImageSrd>
  <webImageSrd>
    <address r:id="rId173"/>
    <blip r:id="rId174"/>
  </webImageSrd>
  <webImageSrd>
    <address r:id="rId175"/>
    <blip r:id="rId176"/>
  </webImageSrd>
  <webImageSrd>
    <address r:id="rId177"/>
    <blip r:id="rId178"/>
  </webImageSrd>
  <webImageSrd>
    <address r:id="rId179"/>
    <blip r:id="rId180"/>
  </webImageSrd>
  <webImageSrd>
    <address r:id="rId181"/>
    <blip r:id="rId182"/>
  </webImageSrd>
  <webImageSrd>
    <address r:id="rId183"/>
    <blip r:id="rId184"/>
  </webImageSrd>
  <webImageSrd>
    <address r:id="rId185"/>
    <blip r:id="rId186"/>
  </webImageSrd>
  <webImageSrd>
    <address r:id="rId187"/>
    <blip r:id="rId188"/>
  </webImageSrd>
  <webImageSrd>
    <address r:id="rId189"/>
    <blip r:id="rId190"/>
  </webImageSrd>
  <webImageSrd>
    <address r:id="rId191"/>
    <blip r:id="rId192"/>
  </webImageSrd>
  <webImageSrd>
    <address r:id="rId193"/>
    <blip r:id="rId194"/>
  </webImageSrd>
  <webImageSrd>
    <address r:id="rId195"/>
    <blip r:id="rId196"/>
  </webImageSrd>
  <webImageSrd>
    <address r:id="rId197"/>
    <blip r:id="rId198"/>
  </webImageSrd>
  <webImageSrd>
    <address r:id="rId199"/>
    <blip r:id="rId200"/>
  </webImageSrd>
  <webImageSrd>
    <address r:id="rId201"/>
    <blip r:id="rId202"/>
  </webImageSrd>
  <webImageSrd>
    <address r:id="rId203"/>
    <blip r:id="rId204"/>
  </webImageSrd>
  <webImageSrd>
    <address r:id="rId205"/>
    <blip r:id="rId206"/>
  </webImageSrd>
  <webImageSrd>
    <address r:id="rId207"/>
    <blip r:id="rId208"/>
  </webImageSrd>
  <webImageSrd>
    <address r:id="rId209"/>
    <blip r:id="rId210"/>
  </webImageSrd>
  <webImageSrd>
    <address r:id="rId211"/>
    <blip r:id="rId212"/>
  </webImageSrd>
  <webImageSrd>
    <address r:id="rId213"/>
    <blip r:id="rId214"/>
  </webImageSrd>
  <webImageSrd>
    <address r:id="rId215"/>
    <blip r:id="rId216"/>
  </webImageSrd>
  <webImageSrd>
    <address r:id="rId217"/>
    <blip r:id="rId218"/>
  </webImageSrd>
  <webImageSrd>
    <address r:id="rId219"/>
    <blip r:id="rId220"/>
  </webImageSrd>
  <webImageSrd>
    <address r:id="rId221"/>
    <blip r:id="rId222"/>
  </webImageSrd>
  <webImageSrd>
    <address r:id="rId223"/>
    <blip r:id="rId224"/>
  </webImageSrd>
  <webImageSrd>
    <address r:id="rId225"/>
    <blip r:id="rId226"/>
  </webImageSrd>
  <webImageSrd>
    <address r:id="rId227"/>
    <blip r:id="rId228"/>
  </webImageSrd>
  <webImageSrd>
    <address r:id="rId229"/>
    <blip r:id="rId230"/>
  </webImageSrd>
  <webImageSrd>
    <address r:id="rId231"/>
    <blip r:id="rId232"/>
  </webImageSrd>
  <webImageSrd>
    <address r:id="rId233"/>
    <blip r:id="rId234"/>
  </webImageSrd>
  <webImageSrd>
    <address r:id="rId235"/>
    <blip r:id="rId236"/>
  </webImageSrd>
  <webImageSrd>
    <address r:id="rId237"/>
    <blip r:id="rId238"/>
  </webImageSrd>
  <webImageSrd>
    <address r:id="rId239"/>
    <blip r:id="rId240"/>
  </webImageSrd>
  <webImageSrd>
    <address r:id="rId241"/>
    <blip r:id="rId242"/>
  </webImageSrd>
  <webImageSrd>
    <address r:id="rId243"/>
    <blip r:id="rId244"/>
  </webImageSrd>
  <webImageSrd>
    <address r:id="rId245"/>
    <blip r:id="rId246"/>
  </webImageSrd>
  <webImageSrd>
    <address r:id="rId247"/>
    <blip r:id="rId248"/>
  </webImageSrd>
  <webImageSrd>
    <address r:id="rId249"/>
    <blip r:id="rId250"/>
  </webImageSrd>
  <webImageSrd>
    <address r:id="rId251"/>
    <blip r:id="rId252"/>
  </webImageSrd>
  <webImageSrd>
    <address r:id="rId253"/>
    <blip r:id="rId254"/>
  </webImageSrd>
  <webImageSrd>
    <address r:id="rId255"/>
    <blip r:id="rId256"/>
  </webImageSrd>
  <webImageSrd>
    <address r:id="rId257"/>
    <blip r:id="rId258"/>
  </webImageSrd>
  <webImageSrd>
    <address r:id="rId259"/>
    <blip r:id="rId260"/>
  </webImageSrd>
  <webImageSrd>
    <address r:id="rId261"/>
    <blip r:id="rId262"/>
  </webImageSrd>
  <webImageSrd>
    <address r:id="rId263"/>
    <blip r:id="rId264"/>
  </webImageSrd>
  <webImageSrd>
    <address r:id="rId265"/>
    <blip r:id="rId266"/>
  </webImageSrd>
  <webImageSrd>
    <address r:id="rId267"/>
    <blip r:id="rId268"/>
  </webImageSrd>
  <webImageSrd>
    <address r:id="rId269"/>
    <blip r:id="rId270"/>
  </webImageSrd>
  <webImageSrd>
    <address r:id="rId271"/>
    <blip r:id="rId272"/>
  </webImageSrd>
  <webImageSrd>
    <address r:id="rId273"/>
    <blip r:id="rId274"/>
  </webImageSrd>
  <webImageSrd>
    <address r:id="rId275"/>
    <blip r:id="rId276"/>
  </webImageSrd>
  <webImageSrd>
    <address r:id="rId277"/>
    <blip r:id="rId278"/>
  </webImageSrd>
  <webImageSrd>
    <address r:id="rId279"/>
    <blip r:id="rId280"/>
  </webImageSrd>
  <webImageSrd>
    <address r:id="rId281"/>
    <blip r:id="rId282"/>
  </webImageSrd>
  <webImageSrd>
    <address r:id="rId283"/>
    <blip r:id="rId284"/>
  </webImageSrd>
  <webImageSrd>
    <address r:id="rId285"/>
    <blip r:id="rId286"/>
  </webImageSrd>
  <webImageSrd>
    <address r:id="rId287"/>
    <blip r:id="rId288"/>
  </webImageSrd>
  <webImageSrd>
    <address r:id="rId289"/>
    <blip r:id="rId290"/>
  </webImageSrd>
  <webImageSrd>
    <address r:id="rId291"/>
    <blip r:id="rId292"/>
  </webImageSrd>
  <webImageSrd>
    <address r:id="rId293"/>
    <blip r:id="rId294"/>
  </webImageSrd>
  <webImageSrd>
    <address r:id="rId295"/>
    <blip r:id="rId296"/>
  </webImageSrd>
  <webImageSrd>
    <address r:id="rId297"/>
    <blip r:id="rId298"/>
  </webImageSrd>
  <webImageSrd>
    <address r:id="rId299"/>
    <blip r:id="rId300"/>
  </webImageSrd>
  <webImageSrd>
    <address r:id="rId301"/>
    <blip r:id="rId302"/>
  </webImageSrd>
  <webImageSrd>
    <address r:id="rId303"/>
    <blip r:id="rId304"/>
  </webImageSrd>
  <webImageSrd>
    <address r:id="rId305"/>
    <blip r:id="rId306"/>
  </webImageSrd>
  <webImageSrd>
    <address r:id="rId307"/>
    <blip r:id="rId308"/>
  </webImageSrd>
  <webImageSrd>
    <address r:id="rId309"/>
    <blip r:id="rId310"/>
  </webImageSrd>
  <webImageSrd>
    <address r:id="rId311"/>
    <blip r:id="rId312"/>
  </webImageSrd>
  <webImageSrd>
    <address r:id="rId313"/>
    <blip r:id="rId314"/>
  </webImageSrd>
  <webImageSrd>
    <address r:id="rId315"/>
    <blip r:id="rId316"/>
  </webImageSrd>
  <webImageSrd>
    <address r:id="rId317"/>
    <blip r:id="rId318"/>
  </webImageSrd>
  <webImageSrd>
    <address r:id="rId319"/>
    <blip r:id="rId320"/>
  </webImageSrd>
  <webImageSrd>
    <address r:id="rId321"/>
    <blip r:id="rId322"/>
  </webImageSrd>
  <webImageSrd>
    <address r:id="rId323"/>
    <blip r:id="rId324"/>
  </webImageSrd>
  <webImageSrd>
    <address r:id="rId325"/>
    <blip r:id="rId326"/>
  </webImageSrd>
  <webImageSrd>
    <address r:id="rId327"/>
    <blip r:id="rId328"/>
  </webImageSrd>
  <webImageSrd>
    <address r:id="rId329"/>
    <blip r:id="rId330"/>
  </webImageSrd>
  <webImageSrd>
    <address r:id="rId331"/>
    <blip r:id="rId332"/>
  </webImageSrd>
  <webImageSrd>
    <address r:id="rId333"/>
    <blip r:id="rId334"/>
  </webImageSrd>
  <webImageSrd>
    <address r:id="rId335"/>
    <blip r:id="rId336"/>
  </webImageSrd>
  <webImageSrd>
    <address r:id="rId337"/>
    <blip r:id="rId338"/>
  </webImageSrd>
  <webImageSrd>
    <address r:id="rId339"/>
    <blip r:id="rId340"/>
  </webImageSrd>
  <webImageSrd>
    <address r:id="rId341"/>
    <blip r:id="rId342"/>
  </webImageSrd>
  <webImageSrd>
    <address r:id="rId343"/>
    <blip r:id="rId344"/>
  </webImageSrd>
  <webImageSrd>
    <address r:id="rId345"/>
    <blip r:id="rId346"/>
  </webImageSrd>
  <webImageSrd>
    <address r:id="rId347"/>
    <blip r:id="rId348"/>
  </webImageSrd>
  <webImageSrd>
    <address r:id="rId349"/>
    <blip r:id="rId350"/>
  </webImageSrd>
  <webImageSrd>
    <address r:id="rId351"/>
    <blip r:id="rId352"/>
  </webImageSrd>
  <webImageSrd>
    <address r:id="rId353"/>
    <blip r:id="rId354"/>
  </webImageSrd>
  <webImageSrd>
    <address r:id="rId355"/>
    <blip r:id="rId356"/>
  </webImageSrd>
  <webImageSrd>
    <address r:id="rId357"/>
    <blip r:id="rId358"/>
  </webImageSrd>
  <webImageSrd>
    <address r:id="rId359"/>
    <blip r:id="rId360"/>
  </webImageSrd>
  <webImageSrd>
    <address r:id="rId361"/>
    <blip r:id="rId362"/>
  </webImageSrd>
  <webImageSrd>
    <address r:id="rId363"/>
    <blip r:id="rId364"/>
  </webImageSrd>
  <webImageSrd>
    <address r:id="rId365"/>
    <blip r:id="rId366"/>
  </webImageSrd>
  <webImageSrd>
    <address r:id="rId367"/>
    <blip r:id="rId368"/>
  </webImageSrd>
  <webImageSrd>
    <address r:id="rId369"/>
    <blip r:id="rId370"/>
  </webImageSrd>
  <webImageSrd>
    <address r:id="rId371"/>
    <blip r:id="rId372"/>
  </webImageSrd>
  <webImageSrd>
    <address r:id="rId373"/>
    <blip r:id="rId374"/>
  </webImageSrd>
  <webImageSrd>
    <address r:id="rId375"/>
    <blip r:id="rId376"/>
  </webImageSrd>
  <webImageSrd>
    <address r:id="rId377"/>
    <blip r:id="rId378"/>
  </webImageSrd>
  <webImageSrd>
    <address r:id="rId379"/>
    <blip r:id="rId380"/>
  </webImageSrd>
  <webImageSrd>
    <address r:id="rId381"/>
    <blip r:id="rId382"/>
  </webImageSrd>
  <webImageSrd>
    <address r:id="rId383"/>
    <blip r:id="rId384"/>
  </webImageSrd>
  <webImageSrd>
    <address r:id="rId385"/>
    <blip r:id="rId386"/>
  </webImageSrd>
  <webImageSrd>
    <address r:id="rId387"/>
    <blip r:id="rId388"/>
  </webImageSrd>
  <webImageSrd>
    <address r:id="rId389"/>
    <blip r:id="rId390"/>
  </webImageSrd>
  <webImageSrd>
    <address r:id="rId391"/>
    <blip r:id="rId392"/>
  </webImageSrd>
  <webImageSrd>
    <address r:id="rId393"/>
    <blip r:id="rId394"/>
  </webImageSrd>
  <webImageSrd>
    <address r:id="rId395"/>
    <blip r:id="rId396"/>
  </webImageSrd>
  <webImageSrd>
    <address r:id="rId397"/>
    <blip r:id="rId398"/>
  </webImageSrd>
  <webImageSrd>
    <address r:id="rId399"/>
    <blip r:id="rId400"/>
  </webImageSrd>
  <webImageSrd>
    <address r:id="rId401"/>
    <blip r:id="rId402"/>
  </webImageSrd>
  <webImageSrd>
    <address r:id="rId403"/>
    <blip r:id="rId404"/>
  </webImageSrd>
  <webImageSrd>
    <address r:id="rId405"/>
    <blip r:id="rId406"/>
  </webImageSrd>
  <webImageSrd>
    <address r:id="rId407"/>
    <blip r:id="rId408"/>
  </webImageSrd>
  <webImageSrd>
    <address r:id="rId409"/>
    <blip r:id="rId410"/>
  </webImageSrd>
  <webImageSrd>
    <address r:id="rId411"/>
    <blip r:id="rId412"/>
  </webImageSrd>
  <webImageSrd>
    <address r:id="rId413"/>
    <blip r:id="rId414"/>
  </webImageSrd>
  <webImageSrd>
    <address r:id="rId415"/>
    <blip r:id="rId416"/>
  </webImageSrd>
  <webImageSrd>
    <address r:id="rId417"/>
    <blip r:id="rId418"/>
  </webImageSrd>
  <webImageSrd>
    <address r:id="rId419"/>
    <blip r:id="rId420"/>
  </webImageSrd>
  <webImageSrd>
    <address r:id="rId421"/>
    <blip r:id="rId422"/>
  </webImageSrd>
  <webImageSrd>
    <address r:id="rId423"/>
    <blip r:id="rId424"/>
  </webImageSrd>
  <webImageSrd>
    <address r:id="rId425"/>
    <blip r:id="rId426"/>
  </webImageSrd>
  <webImageSrd>
    <address r:id="rId427"/>
    <blip r:id="rId428"/>
  </webImageSrd>
  <webImageSrd>
    <address r:id="rId429"/>
    <blip r:id="rId430"/>
  </webImageSrd>
  <webImageSrd>
    <address r:id="rId431"/>
    <blip r:id="rId432"/>
  </webImageSrd>
  <webImageSrd>
    <address r:id="rId433"/>
    <blip r:id="rId434"/>
  </webImageSrd>
  <webImageSrd>
    <address r:id="rId435"/>
    <blip r:id="rId436"/>
  </webImageSrd>
  <webImageSrd>
    <address r:id="rId437"/>
    <blip r:id="rId438"/>
  </webImageSrd>
  <webImageSrd>
    <address r:id="rId439"/>
    <blip r:id="rId440"/>
  </webImageSrd>
  <webImageSrd>
    <address r:id="rId441"/>
    <blip r:id="rId442"/>
  </webImageSrd>
  <webImageSrd>
    <address r:id="rId443"/>
    <blip r:id="rId444"/>
  </webImageSrd>
  <webImageSrd>
    <address r:id="rId445"/>
    <blip r:id="rId446"/>
  </webImageSrd>
</webImagesSrd>
</file>

<file path=xl/richData/rdrichvalue.xml><?xml version="1.0" encoding="utf-8"?>
<rvData xmlns="http://schemas.microsoft.com/office/spreadsheetml/2017/richdata" count="223">
  <rv s="0">
    <v>0</v>
    <v>1</v>
    <v>0</v>
    <v>0</v>
  </rv>
  <rv s="0">
    <v>1</v>
    <v>1</v>
    <v>0</v>
    <v>0</v>
  </rv>
  <rv s="0">
    <v>2</v>
    <v>1</v>
    <v>0</v>
    <v>0</v>
  </rv>
  <rv s="0">
    <v>3</v>
    <v>1</v>
    <v>0</v>
    <v>0</v>
  </rv>
  <rv s="0">
    <v>4</v>
    <v>1</v>
    <v>0</v>
    <v>0</v>
  </rv>
  <rv s="0">
    <v>5</v>
    <v>1</v>
    <v>0</v>
    <v>0</v>
  </rv>
  <rv s="0">
    <v>6</v>
    <v>1</v>
    <v>0</v>
    <v>0</v>
  </rv>
  <rv s="0">
    <v>7</v>
    <v>1</v>
    <v>0</v>
    <v>0</v>
  </rv>
  <rv s="0">
    <v>8</v>
    <v>1</v>
    <v>0</v>
    <v>0</v>
  </rv>
  <rv s="0">
    <v>9</v>
    <v>1</v>
    <v>0</v>
    <v>0</v>
  </rv>
  <rv s="0">
    <v>10</v>
    <v>1</v>
    <v>0</v>
    <v>0</v>
  </rv>
  <rv s="0">
    <v>11</v>
    <v>1</v>
    <v>0</v>
    <v>0</v>
  </rv>
  <rv s="0">
    <v>12</v>
    <v>1</v>
    <v>0</v>
    <v>0</v>
  </rv>
  <rv s="0">
    <v>13</v>
    <v>1</v>
    <v>0</v>
    <v>0</v>
  </rv>
  <rv s="0">
    <v>14</v>
    <v>1</v>
    <v>0</v>
    <v>0</v>
  </rv>
  <rv s="0">
    <v>15</v>
    <v>1</v>
    <v>0</v>
    <v>0</v>
  </rv>
  <rv s="0">
    <v>16</v>
    <v>1</v>
    <v>0</v>
    <v>0</v>
  </rv>
  <rv s="0">
    <v>17</v>
    <v>1</v>
    <v>0</v>
    <v>0</v>
  </rv>
  <rv s="0">
    <v>18</v>
    <v>1</v>
    <v>0</v>
    <v>0</v>
  </rv>
  <rv s="0">
    <v>19</v>
    <v>1</v>
    <v>0</v>
    <v>0</v>
  </rv>
  <rv s="0">
    <v>20</v>
    <v>1</v>
    <v>0</v>
    <v>0</v>
  </rv>
  <rv s="0">
    <v>21</v>
    <v>1</v>
    <v>0</v>
    <v>0</v>
  </rv>
  <rv s="0">
    <v>22</v>
    <v>1</v>
    <v>0</v>
    <v>0</v>
  </rv>
  <rv s="0">
    <v>23</v>
    <v>1</v>
    <v>0</v>
    <v>0</v>
  </rv>
  <rv s="0">
    <v>24</v>
    <v>1</v>
    <v>0</v>
    <v>0</v>
  </rv>
  <rv s="0">
    <v>25</v>
    <v>1</v>
    <v>0</v>
    <v>0</v>
  </rv>
  <rv s="0">
    <v>26</v>
    <v>1</v>
    <v>0</v>
    <v>0</v>
  </rv>
  <rv s="0">
    <v>27</v>
    <v>1</v>
    <v>0</v>
    <v>0</v>
  </rv>
  <rv s="0">
    <v>28</v>
    <v>1</v>
    <v>0</v>
    <v>0</v>
  </rv>
  <rv s="0">
    <v>29</v>
    <v>1</v>
    <v>0</v>
    <v>0</v>
  </rv>
  <rv s="0">
    <v>30</v>
    <v>1</v>
    <v>0</v>
    <v>0</v>
  </rv>
  <rv s="0">
    <v>31</v>
    <v>1</v>
    <v>0</v>
    <v>0</v>
  </rv>
  <rv s="0">
    <v>32</v>
    <v>1</v>
    <v>0</v>
    <v>0</v>
  </rv>
  <rv s="0">
    <v>33</v>
    <v>1</v>
    <v>0</v>
    <v>0</v>
  </rv>
  <rv s="0">
    <v>34</v>
    <v>1</v>
    <v>0</v>
    <v>0</v>
  </rv>
  <rv s="0">
    <v>35</v>
    <v>1</v>
    <v>0</v>
    <v>0</v>
  </rv>
  <rv s="0">
    <v>36</v>
    <v>1</v>
    <v>0</v>
    <v>0</v>
  </rv>
  <rv s="0">
    <v>37</v>
    <v>1</v>
    <v>0</v>
    <v>0</v>
  </rv>
  <rv s="0">
    <v>38</v>
    <v>1</v>
    <v>0</v>
    <v>0</v>
  </rv>
  <rv s="0">
    <v>39</v>
    <v>1</v>
    <v>0</v>
    <v>0</v>
  </rv>
  <rv s="0">
    <v>40</v>
    <v>1</v>
    <v>0</v>
    <v>0</v>
  </rv>
  <rv s="0">
    <v>41</v>
    <v>1</v>
    <v>0</v>
    <v>0</v>
  </rv>
  <rv s="0">
    <v>42</v>
    <v>1</v>
    <v>0</v>
    <v>0</v>
  </rv>
  <rv s="0">
    <v>43</v>
    <v>1</v>
    <v>0</v>
    <v>0</v>
  </rv>
  <rv s="0">
    <v>44</v>
    <v>1</v>
    <v>0</v>
    <v>0</v>
  </rv>
  <rv s="0">
    <v>45</v>
    <v>1</v>
    <v>0</v>
    <v>0</v>
  </rv>
  <rv s="0">
    <v>46</v>
    <v>1</v>
    <v>0</v>
    <v>0</v>
  </rv>
  <rv s="0">
    <v>47</v>
    <v>1</v>
    <v>0</v>
    <v>0</v>
  </rv>
  <rv s="0">
    <v>48</v>
    <v>1</v>
    <v>0</v>
    <v>0</v>
  </rv>
  <rv s="0">
    <v>49</v>
    <v>1</v>
    <v>0</v>
    <v>0</v>
  </rv>
  <rv s="0">
    <v>50</v>
    <v>1</v>
    <v>0</v>
    <v>0</v>
  </rv>
  <rv s="0">
    <v>51</v>
    <v>1</v>
    <v>0</v>
    <v>0</v>
  </rv>
  <rv s="0">
    <v>52</v>
    <v>1</v>
    <v>0</v>
    <v>0</v>
  </rv>
  <rv s="0">
    <v>53</v>
    <v>1</v>
    <v>0</v>
    <v>0</v>
  </rv>
  <rv s="0">
    <v>54</v>
    <v>1</v>
    <v>0</v>
    <v>0</v>
  </rv>
  <rv s="0">
    <v>55</v>
    <v>1</v>
    <v>0</v>
    <v>0</v>
  </rv>
  <rv s="0">
    <v>56</v>
    <v>1</v>
    <v>0</v>
    <v>0</v>
  </rv>
  <rv s="0">
    <v>57</v>
    <v>1</v>
    <v>0</v>
    <v>0</v>
  </rv>
  <rv s="0">
    <v>58</v>
    <v>1</v>
    <v>0</v>
    <v>0</v>
  </rv>
  <rv s="0">
    <v>59</v>
    <v>1</v>
    <v>0</v>
    <v>0</v>
  </rv>
  <rv s="0">
    <v>60</v>
    <v>1</v>
    <v>0</v>
    <v>0</v>
  </rv>
  <rv s="0">
    <v>61</v>
    <v>1</v>
    <v>0</v>
    <v>0</v>
  </rv>
  <rv s="0">
    <v>62</v>
    <v>1</v>
    <v>0</v>
    <v>0</v>
  </rv>
  <rv s="0">
    <v>63</v>
    <v>1</v>
    <v>0</v>
    <v>0</v>
  </rv>
  <rv s="0">
    <v>64</v>
    <v>1</v>
    <v>0</v>
    <v>0</v>
  </rv>
  <rv s="0">
    <v>65</v>
    <v>1</v>
    <v>0</v>
    <v>0</v>
  </rv>
  <rv s="0">
    <v>66</v>
    <v>1</v>
    <v>0</v>
    <v>0</v>
  </rv>
  <rv s="0">
    <v>67</v>
    <v>1</v>
    <v>0</v>
    <v>0</v>
  </rv>
  <rv s="0">
    <v>68</v>
    <v>1</v>
    <v>0</v>
    <v>0</v>
  </rv>
  <rv s="0">
    <v>69</v>
    <v>1</v>
    <v>0</v>
    <v>0</v>
  </rv>
  <rv s="0">
    <v>70</v>
    <v>1</v>
    <v>0</v>
    <v>0</v>
  </rv>
  <rv s="0">
    <v>71</v>
    <v>1</v>
    <v>0</v>
    <v>0</v>
  </rv>
  <rv s="0">
    <v>72</v>
    <v>1</v>
    <v>0</v>
    <v>0</v>
  </rv>
  <rv s="0">
    <v>73</v>
    <v>1</v>
    <v>0</v>
    <v>0</v>
  </rv>
  <rv s="0">
    <v>74</v>
    <v>1</v>
    <v>0</v>
    <v>0</v>
  </rv>
  <rv s="0">
    <v>75</v>
    <v>1</v>
    <v>0</v>
    <v>0</v>
  </rv>
  <rv s="0">
    <v>76</v>
    <v>1</v>
    <v>0</v>
    <v>0</v>
  </rv>
  <rv s="0">
    <v>77</v>
    <v>1</v>
    <v>0</v>
    <v>0</v>
  </rv>
  <rv s="0">
    <v>78</v>
    <v>1</v>
    <v>0</v>
    <v>0</v>
  </rv>
  <rv s="0">
    <v>79</v>
    <v>1</v>
    <v>0</v>
    <v>0</v>
  </rv>
  <rv s="0">
    <v>80</v>
    <v>1</v>
    <v>0</v>
    <v>0</v>
  </rv>
  <rv s="0">
    <v>81</v>
    <v>1</v>
    <v>0</v>
    <v>0</v>
  </rv>
  <rv s="0">
    <v>82</v>
    <v>1</v>
    <v>0</v>
    <v>0</v>
  </rv>
  <rv s="0">
    <v>83</v>
    <v>1</v>
    <v>0</v>
    <v>0</v>
  </rv>
  <rv s="0">
    <v>84</v>
    <v>1</v>
    <v>0</v>
    <v>0</v>
  </rv>
  <rv s="0">
    <v>85</v>
    <v>1</v>
    <v>0</v>
    <v>0</v>
  </rv>
  <rv s="0">
    <v>86</v>
    <v>1</v>
    <v>0</v>
    <v>0</v>
  </rv>
  <rv s="0">
    <v>87</v>
    <v>1</v>
    <v>0</v>
    <v>0</v>
  </rv>
  <rv s="0">
    <v>88</v>
    <v>1</v>
    <v>0</v>
    <v>0</v>
  </rv>
  <rv s="0">
    <v>89</v>
    <v>1</v>
    <v>0</v>
    <v>0</v>
  </rv>
  <rv s="0">
    <v>90</v>
    <v>1</v>
    <v>0</v>
    <v>0</v>
  </rv>
  <rv s="0">
    <v>91</v>
    <v>1</v>
    <v>0</v>
    <v>0</v>
  </rv>
  <rv s="0">
    <v>92</v>
    <v>1</v>
    <v>0</v>
    <v>0</v>
  </rv>
  <rv s="0">
    <v>93</v>
    <v>1</v>
    <v>0</v>
    <v>0</v>
  </rv>
  <rv s="0">
    <v>94</v>
    <v>1</v>
    <v>0</v>
    <v>0</v>
  </rv>
  <rv s="0">
    <v>95</v>
    <v>1</v>
    <v>0</v>
    <v>0</v>
  </rv>
  <rv s="0">
    <v>96</v>
    <v>1</v>
    <v>0</v>
    <v>0</v>
  </rv>
  <rv s="0">
    <v>97</v>
    <v>1</v>
    <v>0</v>
    <v>0</v>
  </rv>
  <rv s="0">
    <v>98</v>
    <v>1</v>
    <v>0</v>
    <v>0</v>
  </rv>
  <rv s="0">
    <v>99</v>
    <v>1</v>
    <v>0</v>
    <v>0</v>
  </rv>
  <rv s="0">
    <v>100</v>
    <v>1</v>
    <v>0</v>
    <v>0</v>
  </rv>
  <rv s="0">
    <v>101</v>
    <v>1</v>
    <v>0</v>
    <v>0</v>
  </rv>
  <rv s="0">
    <v>102</v>
    <v>1</v>
    <v>0</v>
    <v>0</v>
  </rv>
  <rv s="0">
    <v>103</v>
    <v>1</v>
    <v>0</v>
    <v>0</v>
  </rv>
  <rv s="0">
    <v>104</v>
    <v>1</v>
    <v>0</v>
    <v>0</v>
  </rv>
  <rv s="0">
    <v>105</v>
    <v>1</v>
    <v>0</v>
    <v>0</v>
  </rv>
  <rv s="0">
    <v>106</v>
    <v>1</v>
    <v>0</v>
    <v>0</v>
  </rv>
  <rv s="0">
    <v>107</v>
    <v>1</v>
    <v>0</v>
    <v>0</v>
  </rv>
  <rv s="0">
    <v>108</v>
    <v>1</v>
    <v>0</v>
    <v>0</v>
  </rv>
  <rv s="0">
    <v>109</v>
    <v>1</v>
    <v>0</v>
    <v>0</v>
  </rv>
  <rv s="0">
    <v>110</v>
    <v>1</v>
    <v>0</v>
    <v>0</v>
  </rv>
  <rv s="0">
    <v>111</v>
    <v>1</v>
    <v>0</v>
    <v>0</v>
  </rv>
  <rv s="0">
    <v>112</v>
    <v>1</v>
    <v>0</v>
    <v>0</v>
  </rv>
  <rv s="0">
    <v>113</v>
    <v>1</v>
    <v>0</v>
    <v>0</v>
  </rv>
  <rv s="0">
    <v>114</v>
    <v>1</v>
    <v>0</v>
    <v>0</v>
  </rv>
  <rv s="0">
    <v>115</v>
    <v>1</v>
    <v>0</v>
    <v>0</v>
  </rv>
  <rv s="0">
    <v>116</v>
    <v>1</v>
    <v>0</v>
    <v>0</v>
  </rv>
  <rv s="0">
    <v>117</v>
    <v>1</v>
    <v>0</v>
    <v>0</v>
  </rv>
  <rv s="0">
    <v>118</v>
    <v>1</v>
    <v>0</v>
    <v>0</v>
  </rv>
  <rv s="0">
    <v>119</v>
    <v>1</v>
    <v>0</v>
    <v>0</v>
  </rv>
  <rv s="0">
    <v>120</v>
    <v>1</v>
    <v>0</v>
    <v>0</v>
  </rv>
  <rv s="0">
    <v>121</v>
    <v>1</v>
    <v>0</v>
    <v>0</v>
  </rv>
  <rv s="0">
    <v>122</v>
    <v>1</v>
    <v>0</v>
    <v>0</v>
  </rv>
  <rv s="0">
    <v>123</v>
    <v>1</v>
    <v>0</v>
    <v>0</v>
  </rv>
  <rv s="0">
    <v>124</v>
    <v>1</v>
    <v>0</v>
    <v>0</v>
  </rv>
  <rv s="0">
    <v>125</v>
    <v>1</v>
    <v>0</v>
    <v>0</v>
  </rv>
  <rv s="0">
    <v>126</v>
    <v>1</v>
    <v>0</v>
    <v>0</v>
  </rv>
  <rv s="0">
    <v>127</v>
    <v>1</v>
    <v>0</v>
    <v>0</v>
  </rv>
  <rv s="0">
    <v>128</v>
    <v>1</v>
    <v>0</v>
    <v>0</v>
  </rv>
  <rv s="0">
    <v>129</v>
    <v>1</v>
    <v>0</v>
    <v>0</v>
  </rv>
  <rv s="0">
    <v>130</v>
    <v>1</v>
    <v>0</v>
    <v>0</v>
  </rv>
  <rv s="0">
    <v>131</v>
    <v>1</v>
    <v>0</v>
    <v>0</v>
  </rv>
  <rv s="0">
    <v>132</v>
    <v>1</v>
    <v>0</v>
    <v>0</v>
  </rv>
  <rv s="0">
    <v>133</v>
    <v>1</v>
    <v>0</v>
    <v>0</v>
  </rv>
  <rv s="0">
    <v>134</v>
    <v>1</v>
    <v>0</v>
    <v>0</v>
  </rv>
  <rv s="0">
    <v>135</v>
    <v>1</v>
    <v>0</v>
    <v>0</v>
  </rv>
  <rv s="0">
    <v>136</v>
    <v>1</v>
    <v>0</v>
    <v>0</v>
  </rv>
  <rv s="0">
    <v>137</v>
    <v>1</v>
    <v>0</v>
    <v>0</v>
  </rv>
  <rv s="0">
    <v>138</v>
    <v>1</v>
    <v>0</v>
    <v>0</v>
  </rv>
  <rv s="0">
    <v>139</v>
    <v>1</v>
    <v>0</v>
    <v>0</v>
  </rv>
  <rv s="0">
    <v>140</v>
    <v>1</v>
    <v>0</v>
    <v>0</v>
  </rv>
  <rv s="0">
    <v>141</v>
    <v>1</v>
    <v>0</v>
    <v>0</v>
  </rv>
  <rv s="0">
    <v>142</v>
    <v>1</v>
    <v>0</v>
    <v>0</v>
  </rv>
  <rv s="0">
    <v>143</v>
    <v>1</v>
    <v>0</v>
    <v>0</v>
  </rv>
  <rv s="0">
    <v>144</v>
    <v>1</v>
    <v>0</v>
    <v>0</v>
  </rv>
  <rv s="0">
    <v>145</v>
    <v>1</v>
    <v>0</v>
    <v>0</v>
  </rv>
  <rv s="0">
    <v>146</v>
    <v>1</v>
    <v>0</v>
    <v>0</v>
  </rv>
  <rv s="0">
    <v>147</v>
    <v>1</v>
    <v>0</v>
    <v>0</v>
  </rv>
  <rv s="0">
    <v>148</v>
    <v>1</v>
    <v>0</v>
    <v>0</v>
  </rv>
  <rv s="0">
    <v>149</v>
    <v>1</v>
    <v>0</v>
    <v>0</v>
  </rv>
  <rv s="0">
    <v>150</v>
    <v>1</v>
    <v>0</v>
    <v>0</v>
  </rv>
  <rv s="0">
    <v>151</v>
    <v>1</v>
    <v>0</v>
    <v>0</v>
  </rv>
  <rv s="0">
    <v>152</v>
    <v>1</v>
    <v>0</v>
    <v>0</v>
  </rv>
  <rv s="0">
    <v>153</v>
    <v>1</v>
    <v>0</v>
    <v>0</v>
  </rv>
  <rv s="0">
    <v>154</v>
    <v>1</v>
    <v>0</v>
    <v>0</v>
  </rv>
  <rv s="0">
    <v>155</v>
    <v>1</v>
    <v>0</v>
    <v>0</v>
  </rv>
  <rv s="0">
    <v>156</v>
    <v>1</v>
    <v>0</v>
    <v>0</v>
  </rv>
  <rv s="0">
    <v>157</v>
    <v>1</v>
    <v>0</v>
    <v>0</v>
  </rv>
  <rv s="0">
    <v>158</v>
    <v>1</v>
    <v>0</v>
    <v>0</v>
  </rv>
  <rv s="0">
    <v>159</v>
    <v>1</v>
    <v>0</v>
    <v>0</v>
  </rv>
  <rv s="0">
    <v>160</v>
    <v>1</v>
    <v>0</v>
    <v>0</v>
  </rv>
  <rv s="0">
    <v>161</v>
    <v>1</v>
    <v>0</v>
    <v>0</v>
  </rv>
  <rv s="0">
    <v>162</v>
    <v>1</v>
    <v>0</v>
    <v>0</v>
  </rv>
  <rv s="0">
    <v>163</v>
    <v>1</v>
    <v>0</v>
    <v>0</v>
  </rv>
  <rv s="0">
    <v>164</v>
    <v>1</v>
    <v>0</v>
    <v>0</v>
  </rv>
  <rv s="0">
    <v>165</v>
    <v>1</v>
    <v>0</v>
    <v>0</v>
  </rv>
  <rv s="0">
    <v>166</v>
    <v>1</v>
    <v>0</v>
    <v>0</v>
  </rv>
  <rv s="0">
    <v>167</v>
    <v>1</v>
    <v>0</v>
    <v>0</v>
  </rv>
  <rv s="0">
    <v>168</v>
    <v>1</v>
    <v>0</v>
    <v>0</v>
  </rv>
  <rv s="0">
    <v>169</v>
    <v>1</v>
    <v>0</v>
    <v>0</v>
  </rv>
  <rv s="0">
    <v>170</v>
    <v>1</v>
    <v>0</v>
    <v>0</v>
  </rv>
  <rv s="0">
    <v>171</v>
    <v>1</v>
    <v>0</v>
    <v>0</v>
  </rv>
  <rv s="0">
    <v>172</v>
    <v>1</v>
    <v>0</v>
    <v>0</v>
  </rv>
  <rv s="0">
    <v>173</v>
    <v>1</v>
    <v>0</v>
    <v>0</v>
  </rv>
  <rv s="0">
    <v>174</v>
    <v>1</v>
    <v>0</v>
    <v>0</v>
  </rv>
  <rv s="0">
    <v>175</v>
    <v>1</v>
    <v>0</v>
    <v>0</v>
  </rv>
  <rv s="0">
    <v>176</v>
    <v>1</v>
    <v>0</v>
    <v>0</v>
  </rv>
  <rv s="0">
    <v>177</v>
    <v>1</v>
    <v>0</v>
    <v>0</v>
  </rv>
  <rv s="0">
    <v>178</v>
    <v>1</v>
    <v>0</v>
    <v>0</v>
  </rv>
  <rv s="0">
    <v>179</v>
    <v>1</v>
    <v>0</v>
    <v>0</v>
  </rv>
  <rv s="0">
    <v>180</v>
    <v>1</v>
    <v>0</v>
    <v>0</v>
  </rv>
  <rv s="0">
    <v>181</v>
    <v>1</v>
    <v>0</v>
    <v>0</v>
  </rv>
  <rv s="0">
    <v>182</v>
    <v>1</v>
    <v>0</v>
    <v>0</v>
  </rv>
  <rv s="0">
    <v>183</v>
    <v>1</v>
    <v>0</v>
    <v>0</v>
  </rv>
  <rv s="0">
    <v>184</v>
    <v>1</v>
    <v>0</v>
    <v>0</v>
  </rv>
  <rv s="0">
    <v>185</v>
    <v>1</v>
    <v>0</v>
    <v>0</v>
  </rv>
  <rv s="0">
    <v>186</v>
    <v>1</v>
    <v>0</v>
    <v>0</v>
  </rv>
  <rv s="0">
    <v>187</v>
    <v>1</v>
    <v>0</v>
    <v>0</v>
  </rv>
  <rv s="0">
    <v>188</v>
    <v>1</v>
    <v>0</v>
    <v>0</v>
  </rv>
  <rv s="0">
    <v>189</v>
    <v>1</v>
    <v>0</v>
    <v>0</v>
  </rv>
  <rv s="0">
    <v>190</v>
    <v>1</v>
    <v>0</v>
    <v>0</v>
  </rv>
  <rv s="0">
    <v>191</v>
    <v>1</v>
    <v>0</v>
    <v>0</v>
  </rv>
  <rv s="0">
    <v>192</v>
    <v>1</v>
    <v>0</v>
    <v>0</v>
  </rv>
  <rv s="0">
    <v>193</v>
    <v>1</v>
    <v>0</v>
    <v>0</v>
  </rv>
  <rv s="0">
    <v>194</v>
    <v>1</v>
    <v>0</v>
    <v>0</v>
  </rv>
  <rv s="0">
    <v>195</v>
    <v>1</v>
    <v>0</v>
    <v>0</v>
  </rv>
  <rv s="0">
    <v>196</v>
    <v>1</v>
    <v>0</v>
    <v>0</v>
  </rv>
  <rv s="0">
    <v>197</v>
    <v>1</v>
    <v>0</v>
    <v>0</v>
  </rv>
  <rv s="0">
    <v>198</v>
    <v>1</v>
    <v>0</v>
    <v>0</v>
  </rv>
  <rv s="0">
    <v>199</v>
    <v>1</v>
    <v>0</v>
    <v>0</v>
  </rv>
  <rv s="0">
    <v>200</v>
    <v>1</v>
    <v>0</v>
    <v>0</v>
  </rv>
  <rv s="0">
    <v>201</v>
    <v>1</v>
    <v>0</v>
    <v>0</v>
  </rv>
  <rv s="0">
    <v>202</v>
    <v>1</v>
    <v>0</v>
    <v>0</v>
  </rv>
  <rv s="0">
    <v>203</v>
    <v>1</v>
    <v>0</v>
    <v>0</v>
  </rv>
  <rv s="0">
    <v>204</v>
    <v>1</v>
    <v>0</v>
    <v>0</v>
  </rv>
  <rv s="0">
    <v>205</v>
    <v>1</v>
    <v>0</v>
    <v>0</v>
  </rv>
  <rv s="0">
    <v>206</v>
    <v>1</v>
    <v>0</v>
    <v>0</v>
  </rv>
  <rv s="0">
    <v>207</v>
    <v>1</v>
    <v>0</v>
    <v>0</v>
  </rv>
  <rv s="0">
    <v>208</v>
    <v>1</v>
    <v>0</v>
    <v>0</v>
  </rv>
  <rv s="0">
    <v>209</v>
    <v>1</v>
    <v>0</v>
    <v>0</v>
  </rv>
  <rv s="0">
    <v>210</v>
    <v>1</v>
    <v>0</v>
    <v>0</v>
  </rv>
  <rv s="0">
    <v>211</v>
    <v>1</v>
    <v>0</v>
    <v>0</v>
  </rv>
  <rv s="0">
    <v>212</v>
    <v>1</v>
    <v>0</v>
    <v>0</v>
  </rv>
  <rv s="0">
    <v>213</v>
    <v>1</v>
    <v>0</v>
    <v>0</v>
  </rv>
  <rv s="0">
    <v>214</v>
    <v>1</v>
    <v>0</v>
    <v>0</v>
  </rv>
  <rv s="0">
    <v>215</v>
    <v>1</v>
    <v>0</v>
    <v>0</v>
  </rv>
  <rv s="0">
    <v>216</v>
    <v>1</v>
    <v>0</v>
    <v>0</v>
  </rv>
  <rv s="0">
    <v>217</v>
    <v>1</v>
    <v>0</v>
    <v>0</v>
  </rv>
  <rv s="0">
    <v>218</v>
    <v>1</v>
    <v>0</v>
    <v>0</v>
  </rv>
  <rv s="0">
    <v>219</v>
    <v>1</v>
    <v>0</v>
    <v>0</v>
  </rv>
  <rv s="0">
    <v>220</v>
    <v>1</v>
    <v>0</v>
    <v>0</v>
  </rv>
  <rv s="0">
    <v>221</v>
    <v>1</v>
    <v>0</v>
    <v>0</v>
  </rv>
  <rv s="0">
    <v>222</v>
    <v>1</v>
    <v>0</v>
    <v>0</v>
  </rv>
</rvData>
</file>

<file path=xl/richData/rdrichvaluestructure.xml><?xml version="1.0" encoding="utf-8"?>
<rvStructures xmlns="http://schemas.microsoft.com/office/spreadsheetml/2017/richdata" count="1">
  <s t="_webimage">
    <k n="WebImageIdentifier" t="i"/>
    <k n="CalcOrigin" t="i"/>
    <k n="ComputedImage" t="b"/>
    <k n="ImageSizing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D9B510-D2A3-4D34-BB8E-19D5C5390339}" name="fourniture" displayName="fourniture" ref="A1:G65" totalsRowShown="0" headerRowDxfId="61" dataDxfId="60" tableBorderDxfId="59">
  <autoFilter ref="A1:G65" xr:uid="{EB8F441A-9C98-46AF-AE85-C7D1DA6724F1}"/>
  <tableColumns count="7">
    <tableColumn id="2" xr3:uid="{F5D7FD0B-DB3F-485A-BD06-17D69A6681F0}" name="QR Fourniture" dataDxfId="0">
      <calculatedColumnFormula>CONCATENATE(fourniture[[#This Row],[Type]],"_",fourniture[[#This Row],[Référence]])</calculatedColumnFormula>
    </tableColumn>
    <tableColumn id="1" xr3:uid="{B6A9AB79-4A53-4B88-B7EC-74B971903ABD}" name="Type" dataDxfId="58"/>
    <tableColumn id="5" xr3:uid="{6841EB40-6E8A-4237-ABF9-F813470DF0DB}" name="Référence" dataDxfId="57"/>
    <tableColumn id="3" xr3:uid="{D3F4C5F7-EDC0-44C2-8DC9-B2C84FA7C868}" name="Libele" dataDxfId="56"/>
    <tableColumn id="4" xr3:uid="{21809632-E26D-4828-8EF9-4831614B617A}" name="Stock" dataDxfId="55"/>
    <tableColumn id="6" xr3:uid="{9CE55D52-A504-40C9-9469-007AC5B436B9}" name="Prix Achat" dataDxfId="54"/>
    <tableColumn id="7" xr3:uid="{2547B651-9234-48FE-95E5-2DE4A0C352B1}" name="Valeur" dataDxfId="53">
      <calculatedColumnFormula>fourniture[[#This Row],[Stock]]*fourniture[[#This Row],[Prix Achat]]</calculatedColumn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BB20759-9F5A-465F-B488-61EDC3422D7B}" name="Matiere_premiere" displayName="Matiere_premiere" ref="M1:W617" totalsRowShown="0" headerRowDxfId="52" dataDxfId="51" tableBorderDxfId="50">
  <autoFilter ref="M1:W617" xr:uid="{EB8F441A-9C98-46AF-AE85-C7D1DA6724F1}"/>
  <tableColumns count="11">
    <tableColumn id="1" xr3:uid="{39AB24F8-AEEA-4F24-91AB-C8A10C96D114}" name="NUMERO METRIQUE" dataDxfId="49"/>
    <tableColumn id="2" xr3:uid="{0DDAF688-7F9C-41DE-8272-8D84305DA43D}" name="COULEUR" dataDxfId="48"/>
    <tableColumn id="3" xr3:uid="{A80858B1-AB31-4EA0-8A86-75C4CC4B5963}" name="CODE COLEUR" dataDxfId="47"/>
    <tableColumn id="4" xr3:uid="{D349579D-AA24-4F9B-812A-AA20B2269DF8}" name="CODE FAB" dataDxfId="46"/>
    <tableColumn id="5" xr3:uid="{587DD499-6ACD-4B7E-BCE1-63D83A51F2BC}" name="Num de Lot" dataDxfId="45"/>
    <tableColumn id="6" xr3:uid="{400A3F66-7FEE-4889-A069-3223887DCC53}" name="Entrepot" dataDxfId="44"/>
    <tableColumn id="7" xr3:uid="{F0187502-CA0C-43CC-ADD9-E0985A605200}" name="INVENTAIRE" dataDxfId="43"/>
    <tableColumn id="10" xr3:uid="{504F3D69-399F-4B54-8E77-92A7D7F74255}" name="Entrée" dataDxfId="42"/>
    <tableColumn id="8" xr3:uid="{37430251-65DE-468F-B4A8-BDFCE144F5BB}" name="Sortis" dataDxfId="41"/>
    <tableColumn id="9" xr3:uid="{81CF68CA-E845-490F-98AD-C8A921F55A93}" name="Stock" dataDxfId="40">
      <calculatedColumnFormula>SUM(Matiere_premiere[[#This Row],[INVENTAIRE]],-Matiere_premiere[[#This Row],[Entrée]],-Matiere_premiere[[#This Row],[Sortis]])</calculatedColumnFormula>
    </tableColumn>
    <tableColumn id="11" xr3:uid="{6DC0FB66-94B9-48B5-8003-D58604A6E359}" name="QR Mp" dataDxfId="19">
      <calculatedColumnFormula>CONCATENATE(Matiere_premiere[[#This Row],[CODE COLEUR]],"_",Matiere_premiere[[#This Row],[COULEUR]],"_",Matiere_premiere[[#This Row],[CODE FAB]],"_",Matiere_premiere[[#This Row],[Num de Lot]])</calculatedColumnFormula>
    </tableColumn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DBC2383-1FBD-4766-AFCF-B61B59E0AA22}" name="Tableau4" displayName="Tableau4" ref="A1:P168" totalsRowShown="0" headerRowDxfId="39" dataDxfId="1" totalsRowDxfId="36" headerRowBorderDxfId="38" tableBorderDxfId="37" totalsRowBorderDxfId="35">
  <autoFilter ref="A1:P168" xr:uid="{E9C0E19A-83E8-47DC-B944-6E2F95D2A481}"/>
  <sortState xmlns:xlrd2="http://schemas.microsoft.com/office/spreadsheetml/2017/richdata2" ref="B2:P168">
    <sortCondition ref="D2:D168"/>
  </sortState>
  <tableColumns count="16">
    <tableColumn id="6" xr3:uid="{1544E73E-57D2-4894-8087-56D52C8F6284}" name="QR MP" dataDxfId="17" totalsRowDxfId="18">
      <calculatedColumnFormula>CONCATENATE(Tableau4[[#This Row],[CODE COM]],"_",Tableau4[[#This Row],[COULEUR]],"_",Tableau4[[#This Row],[CODE FAB]],"_",Tableau4[[#This Row],[Num de Lot]])</calculatedColumnFormula>
    </tableColumn>
    <tableColumn id="1" xr3:uid="{94673D1D-378F-4013-81AD-59DEE688E5E0}" name="Numero Metrique" dataDxfId="16" totalsRowDxfId="34"/>
    <tableColumn id="2" xr3:uid="{2C1ACB78-6E09-4747-8DF1-BE93C6DA0E27}" name="COULEUR" dataDxfId="15" totalsRowDxfId="33"/>
    <tableColumn id="4" xr3:uid="{85E2D194-6DB8-458A-A5EC-4D24CA1EA278}" name="CODE COM" dataDxfId="14" totalsRowDxfId="32"/>
    <tableColumn id="3" xr3:uid="{A716F250-D2E9-457E-8327-5100C7E366C1}" name="CODE FAB" dataDxfId="13" totalsRowDxfId="31"/>
    <tableColumn id="5" xr3:uid="{94B5E748-C133-4D88-92E0-EB89CCA235E7}" name="Num de Lot" dataDxfId="12" totalsRowDxfId="30"/>
    <tableColumn id="17" xr3:uid="{6F5E2EC6-D249-43F2-B79D-3EC6EB771065}" name="Type" dataDxfId="11" totalsRowDxfId="29"/>
    <tableColumn id="7" xr3:uid="{407413FE-721F-4B24-80F7-57030FA6C6A8}" name="Nbr Bobine Usine" dataDxfId="10" totalsRowDxfId="28"/>
    <tableColumn id="8" xr3:uid="{06F5A49D-6CEE-40A8-B5D9-3FC8C6348294}" name="Poids Usine" dataDxfId="9" totalsRowDxfId="27"/>
    <tableColumn id="9" xr3:uid="{3EF644F1-C8F4-4BFA-8665-E0F23426EAA5}" name="Nbr Bobine E1" dataDxfId="8" totalsRowDxfId="26"/>
    <tableColumn id="10" xr3:uid="{523E6D61-01B5-4911-9280-F5E0947086BD}" name="Poids E1" dataDxfId="7" totalsRowDxfId="25"/>
    <tableColumn id="11" xr3:uid="{E46ACBDD-937E-46CD-A1B9-833587E25482}" name="Nbr Bobine E2" dataDxfId="6" totalsRowDxfId="24"/>
    <tableColumn id="12" xr3:uid="{DAB7B052-6A46-4716-A628-E52A057580B9}" name="Poids E2" dataDxfId="5" totalsRowDxfId="23"/>
    <tableColumn id="13" xr3:uid="{07237DF7-31B8-48BE-A944-C598BC9C31BF}" name="Nbr Bobine E3" dataDxfId="4" totalsRowDxfId="22"/>
    <tableColumn id="14" xr3:uid="{56F1833A-531F-4DD6-8C70-A3EB7EF41337}" name="Poids E3" dataDxfId="3" totalsRowDxfId="21"/>
    <tableColumn id="15" xr3:uid="{1E168269-E378-40A7-BEC7-37F2C98C46BA}" name="Total" dataDxfId="2" totalsRowDxfId="2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F755D-FC0F-4532-A08F-3D688595DD6D}">
  <dimension ref="A1:G65"/>
  <sheetViews>
    <sheetView tabSelected="1" zoomScaleNormal="100" workbookViewId="0">
      <selection activeCell="C17" sqref="C17"/>
    </sheetView>
  </sheetViews>
  <sheetFormatPr baseColWidth="10" defaultRowHeight="15" x14ac:dyDescent="0.25"/>
  <cols>
    <col min="1" max="1" width="23.7109375" customWidth="1"/>
    <col min="2" max="2" width="14.140625" customWidth="1"/>
    <col min="3" max="3" width="14" bestFit="1" customWidth="1"/>
    <col min="4" max="4" width="47.85546875" bestFit="1" customWidth="1"/>
    <col min="5" max="5" width="9.5703125" customWidth="1"/>
    <col min="6" max="6" width="15.42578125" customWidth="1"/>
    <col min="7" max="7" width="15" customWidth="1"/>
  </cols>
  <sheetData>
    <row r="1" spans="1:7" ht="27" x14ac:dyDescent="0.25">
      <c r="A1" s="60" t="s">
        <v>420</v>
      </c>
      <c r="B1" s="60" t="s">
        <v>67</v>
      </c>
      <c r="C1" s="60" t="s">
        <v>353</v>
      </c>
      <c r="D1" s="61" t="s">
        <v>66</v>
      </c>
      <c r="E1" s="61" t="s">
        <v>347</v>
      </c>
      <c r="F1" s="61" t="s">
        <v>418</v>
      </c>
      <c r="G1" s="61" t="s">
        <v>419</v>
      </c>
    </row>
    <row r="2" spans="1:7" x14ac:dyDescent="0.25">
      <c r="A2" s="3" t="str">
        <f>CONCATENATE(fourniture[[#This Row],[Type]],"_",fourniture[[#This Row],[Référence]])</f>
        <v>Couture_BB</v>
      </c>
      <c r="B2" s="3" t="s">
        <v>64</v>
      </c>
      <c r="C2" s="3" t="s">
        <v>354</v>
      </c>
      <c r="D2" s="1" t="s">
        <v>65</v>
      </c>
      <c r="E2" s="1">
        <v>52</v>
      </c>
      <c r="F2" s="62">
        <v>0.3</v>
      </c>
      <c r="G2" s="62">
        <f>fourniture[[#This Row],[Stock]]*fourniture[[#This Row],[Prix Achat]]</f>
        <v>15.6</v>
      </c>
    </row>
    <row r="3" spans="1:7" x14ac:dyDescent="0.25">
      <c r="A3" s="3" t="str">
        <f>CONCATENATE(fourniture[[#This Row],[Type]],"_",fourniture[[#This Row],[Référence]])</f>
        <v>Couture_BN</v>
      </c>
      <c r="B3" s="3" t="s">
        <v>64</v>
      </c>
      <c r="C3" s="3" t="s">
        <v>355</v>
      </c>
      <c r="D3" s="1" t="s">
        <v>63</v>
      </c>
      <c r="E3" s="1">
        <v>17</v>
      </c>
      <c r="F3" s="62">
        <v>0.3</v>
      </c>
      <c r="G3" s="63">
        <f>fourniture[[#This Row],[Stock]]*fourniture[[#This Row],[Prix Achat]]</f>
        <v>5.0999999999999996</v>
      </c>
    </row>
    <row r="4" spans="1:7" x14ac:dyDescent="0.25">
      <c r="A4" s="3" t="str">
        <f>CONCATENATE(fourniture[[#This Row],[Type]],"_",fourniture[[#This Row],[Référence]])</f>
        <v>Etiquette_TABF100C</v>
      </c>
      <c r="B4" s="3" t="s">
        <v>14</v>
      </c>
      <c r="C4" s="3" t="s">
        <v>356</v>
      </c>
      <c r="D4" s="1" t="s">
        <v>62</v>
      </c>
      <c r="E4" s="1">
        <v>2100</v>
      </c>
      <c r="F4" s="62">
        <v>0.3</v>
      </c>
      <c r="G4" s="63">
        <f>fourniture[[#This Row],[Stock]]*fourniture[[#This Row],[Prix Achat]]</f>
        <v>630</v>
      </c>
    </row>
    <row r="5" spans="1:7" x14ac:dyDescent="0.25">
      <c r="A5" s="3" t="str">
        <f>CONCATENATE(fourniture[[#This Row],[Type]],"_",fourniture[[#This Row],[Référence]])</f>
        <v>Etiquette_TCF100C</v>
      </c>
      <c r="B5" s="3" t="s">
        <v>14</v>
      </c>
      <c r="C5" s="3" t="s">
        <v>357</v>
      </c>
      <c r="D5" s="1" t="s">
        <v>21</v>
      </c>
      <c r="E5" s="1">
        <v>2645</v>
      </c>
      <c r="F5" s="62">
        <v>0.3</v>
      </c>
      <c r="G5" s="63">
        <f>fourniture[[#This Row],[Stock]]*fourniture[[#This Row],[Prix Achat]]</f>
        <v>793.5</v>
      </c>
    </row>
    <row r="6" spans="1:7" x14ac:dyDescent="0.25">
      <c r="A6" s="3" t="str">
        <f>CONCATENATE(fourniture[[#This Row],[Type]],"_",fourniture[[#This Row],[Référence]])</f>
        <v>Etiquette_TFP100C</v>
      </c>
      <c r="B6" s="3" t="s">
        <v>14</v>
      </c>
      <c r="C6" s="3" t="s">
        <v>362</v>
      </c>
      <c r="D6" s="2" t="s">
        <v>61</v>
      </c>
      <c r="E6" s="2">
        <v>2485</v>
      </c>
      <c r="F6" s="62">
        <v>0.3</v>
      </c>
      <c r="G6" s="63">
        <f>fourniture[[#This Row],[Stock]]*fourniture[[#This Row],[Prix Achat]]</f>
        <v>745.5</v>
      </c>
    </row>
    <row r="7" spans="1:7" x14ac:dyDescent="0.25">
      <c r="A7" s="3" t="str">
        <f>CONCATENATE(fourniture[[#This Row],[Type]],"_",fourniture[[#This Row],[Référence]])</f>
        <v>Etiquette_TMK100C</v>
      </c>
      <c r="B7" s="3" t="s">
        <v>14</v>
      </c>
      <c r="C7" s="3" t="s">
        <v>365</v>
      </c>
      <c r="D7" s="2" t="s">
        <v>60</v>
      </c>
      <c r="E7" s="2">
        <v>422</v>
      </c>
      <c r="F7" s="62">
        <v>0.3</v>
      </c>
      <c r="G7" s="63">
        <f>fourniture[[#This Row],[Stock]]*fourniture[[#This Row],[Prix Achat]]</f>
        <v>126.6</v>
      </c>
    </row>
    <row r="8" spans="1:7" x14ac:dyDescent="0.25">
      <c r="A8" s="3" t="str">
        <f>CONCATENATE(fourniture[[#This Row],[Type]],"_",fourniture[[#This Row],[Référence]])</f>
        <v>Etiquette_TSP100C</v>
      </c>
      <c r="B8" s="3" t="s">
        <v>14</v>
      </c>
      <c r="C8" s="3" t="s">
        <v>366</v>
      </c>
      <c r="D8" s="2" t="s">
        <v>59</v>
      </c>
      <c r="E8" s="2">
        <v>4700</v>
      </c>
      <c r="F8" s="62">
        <v>0.3</v>
      </c>
      <c r="G8" s="63">
        <f>fourniture[[#This Row],[Stock]]*fourniture[[#This Row],[Prix Achat]]</f>
        <v>1410</v>
      </c>
    </row>
    <row r="9" spans="1:7" x14ac:dyDescent="0.25">
      <c r="A9" s="3" t="str">
        <f>CONCATENATE(fourniture[[#This Row],[Type]],"_",fourniture[[#This Row],[Référence]])</f>
        <v>Etiquette_TMF100M</v>
      </c>
      <c r="B9" s="3" t="s">
        <v>14</v>
      </c>
      <c r="C9" s="3" t="s">
        <v>358</v>
      </c>
      <c r="D9" s="1" t="s">
        <v>58</v>
      </c>
      <c r="E9" s="1">
        <v>6061</v>
      </c>
      <c r="F9" s="62">
        <v>0.3</v>
      </c>
      <c r="G9" s="63">
        <f>fourniture[[#This Row],[Stock]]*fourniture[[#This Row],[Prix Achat]]</f>
        <v>1818.3</v>
      </c>
    </row>
    <row r="10" spans="1:7" x14ac:dyDescent="0.25">
      <c r="A10" s="3" t="str">
        <f>CONCATENATE(fourniture[[#This Row],[Type]],"_",fourniture[[#This Row],[Référence]])</f>
        <v>Etiquette_TCP100C</v>
      </c>
      <c r="B10" s="3" t="s">
        <v>14</v>
      </c>
      <c r="C10" s="3" t="s">
        <v>370</v>
      </c>
      <c r="D10" s="2" t="s">
        <v>57</v>
      </c>
      <c r="E10" s="2">
        <v>2477</v>
      </c>
      <c r="F10" s="62">
        <v>0.3</v>
      </c>
      <c r="G10" s="63">
        <f>fourniture[[#This Row],[Stock]]*fourniture[[#This Row],[Prix Achat]]</f>
        <v>743.1</v>
      </c>
    </row>
    <row r="11" spans="1:7" x14ac:dyDescent="0.25">
      <c r="A11" s="3" t="str">
        <f>CONCATENATE(fourniture[[#This Row],[Type]],"_",fourniture[[#This Row],[Référence]])</f>
        <v>Etiquette_TCD100C</v>
      </c>
      <c r="B11" s="3" t="s">
        <v>14</v>
      </c>
      <c r="C11" s="3" t="s">
        <v>359</v>
      </c>
      <c r="D11" s="2" t="s">
        <v>56</v>
      </c>
      <c r="E11" s="2">
        <v>1108</v>
      </c>
      <c r="F11" s="62">
        <v>0.3</v>
      </c>
      <c r="G11" s="63">
        <f>fourniture[[#This Row],[Stock]]*fourniture[[#This Row],[Prix Achat]]</f>
        <v>332.4</v>
      </c>
    </row>
    <row r="12" spans="1:7" x14ac:dyDescent="0.25">
      <c r="A12" s="3" t="str">
        <f>CONCATENATE(fourniture[[#This Row],[Type]],"_",fourniture[[#This Row],[Référence]])</f>
        <v>Etiquette_TCP100C</v>
      </c>
      <c r="B12" s="3" t="s">
        <v>14</v>
      </c>
      <c r="C12" s="3" t="s">
        <v>370</v>
      </c>
      <c r="D12" s="2" t="s">
        <v>55</v>
      </c>
      <c r="E12" s="2">
        <v>1350</v>
      </c>
      <c r="F12" s="62">
        <v>0.3</v>
      </c>
      <c r="G12" s="63">
        <f>fourniture[[#This Row],[Stock]]*fourniture[[#This Row],[Prix Achat]]</f>
        <v>405</v>
      </c>
    </row>
    <row r="13" spans="1:7" x14ac:dyDescent="0.25">
      <c r="A13" s="1" t="str">
        <f>CONCATENATE(fourniture[[#This Row],[Type]],"_",fourniture[[#This Row],[Référence]])</f>
        <v>Etiquette_TDEL100C</v>
      </c>
      <c r="B13" s="1" t="s">
        <v>14</v>
      </c>
      <c r="C13" s="1" t="s">
        <v>371</v>
      </c>
      <c r="D13" s="1" t="s">
        <v>54</v>
      </c>
      <c r="E13" s="1">
        <v>757</v>
      </c>
      <c r="F13" s="62">
        <v>0.3</v>
      </c>
      <c r="G13" s="63">
        <f>fourniture[[#This Row],[Stock]]*fourniture[[#This Row],[Prix Achat]]</f>
        <v>227.1</v>
      </c>
    </row>
    <row r="14" spans="1:7" x14ac:dyDescent="0.25">
      <c r="A14" s="1" t="str">
        <f>CONCATENATE(fourniture[[#This Row],[Type]],"_",fourniture[[#This Row],[Référence]])</f>
        <v>Etiquette_TBYS100C</v>
      </c>
      <c r="B14" s="1" t="s">
        <v>14</v>
      </c>
      <c r="C14" s="1" t="s">
        <v>369</v>
      </c>
      <c r="D14" s="1" t="s">
        <v>53</v>
      </c>
      <c r="E14" s="1">
        <v>516</v>
      </c>
      <c r="F14" s="62">
        <v>0.3</v>
      </c>
      <c r="G14" s="63">
        <f>fourniture[[#This Row],[Stock]]*fourniture[[#This Row],[Prix Achat]]</f>
        <v>154.79999999999998</v>
      </c>
    </row>
    <row r="15" spans="1:7" x14ac:dyDescent="0.25">
      <c r="A15" s="1" t="str">
        <f>CONCATENATE(fourniture[[#This Row],[Type]],"_",fourniture[[#This Row],[Référence]])</f>
        <v>Etiquette_TBEM100M</v>
      </c>
      <c r="B15" s="1" t="s">
        <v>14</v>
      </c>
      <c r="C15" s="1" t="s">
        <v>372</v>
      </c>
      <c r="D15" s="1" t="s">
        <v>52</v>
      </c>
      <c r="E15" s="1">
        <v>329</v>
      </c>
      <c r="F15" s="62">
        <v>0.3</v>
      </c>
      <c r="G15" s="63">
        <f>fourniture[[#This Row],[Stock]]*fourniture[[#This Row],[Prix Achat]]</f>
        <v>98.7</v>
      </c>
    </row>
    <row r="16" spans="1:7" x14ac:dyDescent="0.25">
      <c r="A16" s="1" t="str">
        <f>CONCATENATE(fourniture[[#This Row],[Type]],"_",fourniture[[#This Row],[Référence]])</f>
        <v>Etiquette_TSW100S</v>
      </c>
      <c r="B16" s="1" t="s">
        <v>14</v>
      </c>
      <c r="C16" s="1" t="s">
        <v>360</v>
      </c>
      <c r="D16" s="1" t="s">
        <v>51</v>
      </c>
      <c r="E16" s="1">
        <v>269</v>
      </c>
      <c r="F16" s="62">
        <v>0.3</v>
      </c>
      <c r="G16" s="63">
        <f>fourniture[[#This Row],[Stock]]*fourniture[[#This Row],[Prix Achat]]</f>
        <v>80.7</v>
      </c>
    </row>
    <row r="17" spans="1:7" x14ac:dyDescent="0.25">
      <c r="A17" s="1" t="str">
        <f>CONCATENATE(fourniture[[#This Row],[Type]],"_",fourniture[[#This Row],[Référence]])</f>
        <v>Etiquette_TCSE100 C</v>
      </c>
      <c r="B17" s="1" t="s">
        <v>14</v>
      </c>
      <c r="C17" s="1" t="s">
        <v>373</v>
      </c>
      <c r="D17" s="1" t="s">
        <v>50</v>
      </c>
      <c r="E17" s="1">
        <v>190</v>
      </c>
      <c r="F17" s="62">
        <v>0.3</v>
      </c>
      <c r="G17" s="63">
        <f>fourniture[[#This Row],[Stock]]*fourniture[[#This Row],[Prix Achat]]</f>
        <v>57</v>
      </c>
    </row>
    <row r="18" spans="1:7" x14ac:dyDescent="0.25">
      <c r="A18" s="1" t="str">
        <f>CONCATENATE(fourniture[[#This Row],[Type]],"_",fourniture[[#This Row],[Référence]])</f>
        <v>Etiquette_TCO100C</v>
      </c>
      <c r="B18" s="1" t="s">
        <v>14</v>
      </c>
      <c r="C18" s="1" t="s">
        <v>367</v>
      </c>
      <c r="D18" s="1" t="s">
        <v>49</v>
      </c>
      <c r="E18" s="1">
        <v>597</v>
      </c>
      <c r="F18" s="62">
        <v>0.3</v>
      </c>
      <c r="G18" s="63">
        <f>fourniture[[#This Row],[Stock]]*fourniture[[#This Row],[Prix Achat]]</f>
        <v>179.1</v>
      </c>
    </row>
    <row r="19" spans="1:7" x14ac:dyDescent="0.25">
      <c r="A19" s="1" t="str">
        <f>CONCATENATE(fourniture[[#This Row],[Type]],"_",fourniture[[#This Row],[Référence]])</f>
        <v>Etiquette_TCSEPAM100C</v>
      </c>
      <c r="B19" s="1" t="s">
        <v>14</v>
      </c>
      <c r="C19" s="1" t="s">
        <v>374</v>
      </c>
      <c r="D19" s="1" t="s">
        <v>48</v>
      </c>
      <c r="E19" s="1">
        <v>177</v>
      </c>
      <c r="F19" s="62">
        <v>0.3</v>
      </c>
      <c r="G19" s="63">
        <f>fourniture[[#This Row],[Stock]]*fourniture[[#This Row],[Prix Achat]]</f>
        <v>53.1</v>
      </c>
    </row>
    <row r="20" spans="1:7" x14ac:dyDescent="0.25">
      <c r="A20" s="1" t="str">
        <f>CONCATENATE(fourniture[[#This Row],[Type]],"_",fourniture[[#This Row],[Référence]])</f>
        <v>Etiquette_TLSEM100C</v>
      </c>
      <c r="B20" s="1" t="s">
        <v>14</v>
      </c>
      <c r="C20" s="1" t="s">
        <v>375</v>
      </c>
      <c r="D20" s="1" t="s">
        <v>47</v>
      </c>
      <c r="E20" s="1">
        <v>145</v>
      </c>
      <c r="F20" s="62">
        <v>0.3</v>
      </c>
      <c r="G20" s="63">
        <f>fourniture[[#This Row],[Stock]]*fourniture[[#This Row],[Prix Achat]]</f>
        <v>43.5</v>
      </c>
    </row>
    <row r="21" spans="1:7" x14ac:dyDescent="0.25">
      <c r="A21" s="1" t="str">
        <f>CONCATENATE(fourniture[[#This Row],[Type]],"_",fourniture[[#This Row],[Référence]])</f>
        <v>Etiquette_TKA100C</v>
      </c>
      <c r="B21" s="1" t="s">
        <v>14</v>
      </c>
      <c r="C21" s="1" t="s">
        <v>368</v>
      </c>
      <c r="D21" s="1" t="s">
        <v>46</v>
      </c>
      <c r="E21" s="1">
        <v>257</v>
      </c>
      <c r="F21" s="62">
        <v>0.3</v>
      </c>
      <c r="G21" s="63">
        <f>fourniture[[#This Row],[Stock]]*fourniture[[#This Row],[Prix Achat]]</f>
        <v>77.099999999999994</v>
      </c>
    </row>
    <row r="22" spans="1:7" x14ac:dyDescent="0.25">
      <c r="A22" s="1" t="str">
        <f>CONCATENATE(fourniture[[#This Row],[Type]],"_",fourniture[[#This Row],[Référence]])</f>
        <v>Polybag_P4530</v>
      </c>
      <c r="B22" s="1" t="s">
        <v>43</v>
      </c>
      <c r="C22" s="1" t="s">
        <v>376</v>
      </c>
      <c r="D22" s="1" t="s">
        <v>45</v>
      </c>
      <c r="E22" s="1">
        <v>978</v>
      </c>
      <c r="F22" s="62">
        <v>0.3</v>
      </c>
      <c r="G22" s="63">
        <f>fourniture[[#This Row],[Stock]]*fourniture[[#This Row],[Prix Achat]]</f>
        <v>293.39999999999998</v>
      </c>
    </row>
    <row r="23" spans="1:7" x14ac:dyDescent="0.25">
      <c r="A23" s="1" t="str">
        <f>CONCATENATE(fourniture[[#This Row],[Type]],"_",fourniture[[#This Row],[Référence]])</f>
        <v>Polybag_P6040</v>
      </c>
      <c r="B23" s="1" t="s">
        <v>43</v>
      </c>
      <c r="C23" s="1" t="s">
        <v>377</v>
      </c>
      <c r="D23" s="1" t="s">
        <v>44</v>
      </c>
      <c r="E23" s="1">
        <v>628</v>
      </c>
      <c r="F23" s="62">
        <v>0.3</v>
      </c>
      <c r="G23" s="63">
        <f>fourniture[[#This Row],[Stock]]*fourniture[[#This Row],[Prix Achat]]</f>
        <v>188.4</v>
      </c>
    </row>
    <row r="24" spans="1:7" x14ac:dyDescent="0.25">
      <c r="A24" s="1" t="str">
        <f>CONCATENATE(fourniture[[#This Row],[Type]],"_",fourniture[[#This Row],[Référence]])</f>
        <v>Polybag_P12075</v>
      </c>
      <c r="B24" s="1" t="s">
        <v>43</v>
      </c>
      <c r="C24" s="1" t="s">
        <v>378</v>
      </c>
      <c r="D24" s="1" t="s">
        <v>42</v>
      </c>
      <c r="E24" s="1">
        <v>67</v>
      </c>
      <c r="F24" s="62">
        <v>0.3</v>
      </c>
      <c r="G24" s="63">
        <f>fourniture[[#This Row],[Stock]]*fourniture[[#This Row],[Prix Achat]]</f>
        <v>20.099999999999998</v>
      </c>
    </row>
    <row r="25" spans="1:7" x14ac:dyDescent="0.25">
      <c r="A25" s="1" t="str">
        <f>CONCATENATE(fourniture[[#This Row],[Type]],"_",fourniture[[#This Row],[Référence]])</f>
        <v>Etiquette_TSC100C</v>
      </c>
      <c r="B25" s="1" t="s">
        <v>14</v>
      </c>
      <c r="C25" s="1" t="s">
        <v>363</v>
      </c>
      <c r="D25" s="1" t="s">
        <v>41</v>
      </c>
      <c r="E25" s="1">
        <v>3153</v>
      </c>
      <c r="F25" s="62">
        <v>0.3</v>
      </c>
      <c r="G25" s="63">
        <f>fourniture[[#This Row],[Stock]]*fourniture[[#This Row],[Prix Achat]]</f>
        <v>945.9</v>
      </c>
    </row>
    <row r="26" spans="1:7" x14ac:dyDescent="0.25">
      <c r="A26" s="1" t="str">
        <f>CONCATENATE(fourniture[[#This Row],[Type]],"_",fourniture[[#This Row],[Référence]])</f>
        <v>Etiquette_TL100C</v>
      </c>
      <c r="B26" s="1" t="s">
        <v>14</v>
      </c>
      <c r="C26" s="1" t="s">
        <v>379</v>
      </c>
      <c r="D26" s="1" t="s">
        <v>40</v>
      </c>
      <c r="E26" s="1">
        <v>3645</v>
      </c>
      <c r="F26" s="62">
        <v>0.3</v>
      </c>
      <c r="G26" s="63">
        <f>fourniture[[#This Row],[Stock]]*fourniture[[#This Row],[Prix Achat]]</f>
        <v>1093.5</v>
      </c>
    </row>
    <row r="27" spans="1:7" x14ac:dyDescent="0.25">
      <c r="A27" s="1" t="str">
        <f>CONCATENATE(fourniture[[#This Row],[Type]],"_",fourniture[[#This Row],[Référence]])</f>
        <v>Etiquette_TSOF100C</v>
      </c>
      <c r="B27" s="1" t="s">
        <v>14</v>
      </c>
      <c r="C27" s="1" t="s">
        <v>380</v>
      </c>
      <c r="D27" s="1" t="s">
        <v>39</v>
      </c>
      <c r="E27" s="1">
        <v>20</v>
      </c>
      <c r="F27" s="62">
        <v>0.3</v>
      </c>
      <c r="G27" s="63">
        <f>fourniture[[#This Row],[Stock]]*fourniture[[#This Row],[Prix Achat]]</f>
        <v>6</v>
      </c>
    </row>
    <row r="28" spans="1:7" x14ac:dyDescent="0.25">
      <c r="A28" s="1" t="str">
        <f>CONCATENATE(fourniture[[#This Row],[Type]],"_",fourniture[[#This Row],[Référence]])</f>
        <v>Etiquette_TLB100C</v>
      </c>
      <c r="B28" s="1" t="s">
        <v>14</v>
      </c>
      <c r="C28" s="1" t="s">
        <v>364</v>
      </c>
      <c r="D28" s="1" t="s">
        <v>38</v>
      </c>
      <c r="E28" s="1">
        <v>1570</v>
      </c>
      <c r="F28" s="62">
        <v>0.3</v>
      </c>
      <c r="G28" s="63">
        <f>fourniture[[#This Row],[Stock]]*fourniture[[#This Row],[Prix Achat]]</f>
        <v>471</v>
      </c>
    </row>
    <row r="29" spans="1:7" x14ac:dyDescent="0.25">
      <c r="A29" s="1" t="str">
        <f>CONCATENATE(fourniture[[#This Row],[Type]],"_",fourniture[[#This Row],[Référence]])</f>
        <v>Etiquette_TVDS100C</v>
      </c>
      <c r="B29" s="1" t="s">
        <v>14</v>
      </c>
      <c r="C29" s="1" t="s">
        <v>381</v>
      </c>
      <c r="D29" s="1" t="s">
        <v>37</v>
      </c>
      <c r="E29" s="1">
        <v>509</v>
      </c>
      <c r="F29" s="62">
        <v>0.3</v>
      </c>
      <c r="G29" s="63">
        <f>fourniture[[#This Row],[Stock]]*fourniture[[#This Row],[Prix Achat]]</f>
        <v>152.69999999999999</v>
      </c>
    </row>
    <row r="30" spans="1:7" x14ac:dyDescent="0.25">
      <c r="A30" s="1" t="str">
        <f>CONCATENATE(fourniture[[#This Row],[Type]],"_",fourniture[[#This Row],[Référence]])</f>
        <v>Etiquette_TABF70L30C</v>
      </c>
      <c r="B30" s="1" t="s">
        <v>14</v>
      </c>
      <c r="C30" s="1" t="s">
        <v>382</v>
      </c>
      <c r="D30" s="1" t="s">
        <v>36</v>
      </c>
      <c r="E30" s="1">
        <v>1717</v>
      </c>
      <c r="F30" s="62">
        <v>0.3</v>
      </c>
      <c r="G30" s="63">
        <f>fourniture[[#This Row],[Stock]]*fourniture[[#This Row],[Prix Achat]]</f>
        <v>515.1</v>
      </c>
    </row>
    <row r="31" spans="1:7" x14ac:dyDescent="0.25">
      <c r="A31" s="1" t="str">
        <f>CONCATENATE(fourniture[[#This Row],[Type]],"_",fourniture[[#This Row],[Référence]])</f>
        <v>Etiquette_ISOF100C</v>
      </c>
      <c r="B31" s="1" t="s">
        <v>14</v>
      </c>
      <c r="C31" s="1" t="s">
        <v>383</v>
      </c>
      <c r="D31" s="1" t="s">
        <v>35</v>
      </c>
      <c r="E31" s="1">
        <v>22</v>
      </c>
      <c r="F31" s="62">
        <v>0.3</v>
      </c>
      <c r="G31" s="63">
        <f>fourniture[[#This Row],[Stock]]*fourniture[[#This Row],[Prix Achat]]</f>
        <v>6.6</v>
      </c>
    </row>
    <row r="32" spans="1:7" x14ac:dyDescent="0.25">
      <c r="A32" s="1" t="str">
        <f>CONCATENATE(fourniture[[#This Row],[Type]],"_",fourniture[[#This Row],[Référence]])</f>
        <v>Hantag_CBIZ</v>
      </c>
      <c r="B32" s="1" t="s">
        <v>3</v>
      </c>
      <c r="C32" s="1" t="s">
        <v>384</v>
      </c>
      <c r="D32" s="1" t="s">
        <v>34</v>
      </c>
      <c r="E32" s="1">
        <v>937</v>
      </c>
      <c r="F32" s="62">
        <v>0.3</v>
      </c>
      <c r="G32" s="63">
        <f>fourniture[[#This Row],[Stock]]*fourniture[[#This Row],[Prix Achat]]</f>
        <v>281.09999999999997</v>
      </c>
    </row>
    <row r="33" spans="1:7" x14ac:dyDescent="0.25">
      <c r="A33" s="1" t="str">
        <f>CONCATENATE(fourniture[[#This Row],[Type]],"_",fourniture[[#This Row],[Référence]])</f>
        <v>Hantag_CMAH</v>
      </c>
      <c r="B33" s="1" t="s">
        <v>3</v>
      </c>
      <c r="C33" s="1" t="s">
        <v>385</v>
      </c>
      <c r="D33" s="1" t="s">
        <v>33</v>
      </c>
      <c r="E33" s="1">
        <v>40</v>
      </c>
      <c r="F33" s="62">
        <v>0.3</v>
      </c>
      <c r="G33" s="63">
        <f>fourniture[[#This Row],[Stock]]*fourniture[[#This Row],[Prix Achat]]</f>
        <v>12</v>
      </c>
    </row>
    <row r="34" spans="1:7" x14ac:dyDescent="0.25">
      <c r="A34" s="1" t="str">
        <f>CONCATENATE(fourniture[[#This Row],[Type]],"_",fourniture[[#This Row],[Référence]])</f>
        <v>Hantag_CMON</v>
      </c>
      <c r="B34" s="1" t="s">
        <v>3</v>
      </c>
      <c r="C34" s="1" t="s">
        <v>386</v>
      </c>
      <c r="D34" s="1" t="s">
        <v>32</v>
      </c>
      <c r="E34" s="1">
        <v>75</v>
      </c>
      <c r="F34" s="62">
        <v>0.3</v>
      </c>
      <c r="G34" s="63">
        <f>fourniture[[#This Row],[Stock]]*fourniture[[#This Row],[Prix Achat]]</f>
        <v>22.5</v>
      </c>
    </row>
    <row r="35" spans="1:7" x14ac:dyDescent="0.25">
      <c r="A35" s="1" t="str">
        <f>CONCATENATE(fourniture[[#This Row],[Type]],"_",fourniture[[#This Row],[Référence]])</f>
        <v>Ruban_TORABF</v>
      </c>
      <c r="B35" s="1" t="s">
        <v>28</v>
      </c>
      <c r="C35" s="1" t="s">
        <v>387</v>
      </c>
      <c r="D35" s="1" t="s">
        <v>31</v>
      </c>
      <c r="E35" s="1">
        <v>1684</v>
      </c>
      <c r="F35" s="62">
        <v>0.3</v>
      </c>
      <c r="G35" s="63">
        <f>fourniture[[#This Row],[Stock]]*fourniture[[#This Row],[Prix Achat]]</f>
        <v>505.2</v>
      </c>
    </row>
    <row r="36" spans="1:7" x14ac:dyDescent="0.25">
      <c r="A36" s="1" t="str">
        <f>CONCATENATE(fourniture[[#This Row],[Type]],"_",fourniture[[#This Row],[Référence]])</f>
        <v>Ruban_TORCF</v>
      </c>
      <c r="B36" s="1" t="s">
        <v>28</v>
      </c>
      <c r="C36" s="1" t="s">
        <v>388</v>
      </c>
      <c r="D36" s="1" t="s">
        <v>30</v>
      </c>
      <c r="E36" s="1">
        <v>6903</v>
      </c>
      <c r="F36" s="62">
        <v>0.3</v>
      </c>
      <c r="G36" s="63">
        <f>fourniture[[#This Row],[Stock]]*fourniture[[#This Row],[Prix Achat]]</f>
        <v>2070.9</v>
      </c>
    </row>
    <row r="37" spans="1:7" x14ac:dyDescent="0.25">
      <c r="A37" s="1" t="str">
        <f>CONCATENATE(fourniture[[#This Row],[Type]],"_",fourniture[[#This Row],[Référence]])</f>
        <v>Ruban_FILOPLAT</v>
      </c>
      <c r="B37" s="1" t="s">
        <v>28</v>
      </c>
      <c r="C37" s="1" t="s">
        <v>389</v>
      </c>
      <c r="D37" s="1" t="s">
        <v>29</v>
      </c>
      <c r="E37" s="1">
        <v>4200</v>
      </c>
      <c r="F37" s="62">
        <v>0.3</v>
      </c>
      <c r="G37" s="63">
        <f>fourniture[[#This Row],[Stock]]*fourniture[[#This Row],[Prix Achat]]</f>
        <v>1260</v>
      </c>
    </row>
    <row r="38" spans="1:7" x14ac:dyDescent="0.25">
      <c r="A38" s="1" t="str">
        <f>CONCATENATE(fourniture[[#This Row],[Type]],"_",fourniture[[#This Row],[Référence]])</f>
        <v>Ruban_FILOND</v>
      </c>
      <c r="B38" s="1" t="s">
        <v>28</v>
      </c>
      <c r="C38" s="1" t="s">
        <v>390</v>
      </c>
      <c r="D38" s="1" t="s">
        <v>27</v>
      </c>
      <c r="E38" s="1">
        <v>22173</v>
      </c>
      <c r="F38" s="62">
        <v>0.3</v>
      </c>
      <c r="G38" s="63">
        <f>fourniture[[#This Row],[Stock]]*fourniture[[#This Row],[Prix Achat]]</f>
        <v>6651.9</v>
      </c>
    </row>
    <row r="39" spans="1:7" x14ac:dyDescent="0.25">
      <c r="A39" s="1" t="str">
        <f>CONCATENATE(fourniture[[#This Row],[Type]],"_",fourniture[[#This Row],[Référence]])</f>
        <v>Etiquette_ISDB100C</v>
      </c>
      <c r="B39" s="1" t="s">
        <v>14</v>
      </c>
      <c r="C39" s="1" t="s">
        <v>391</v>
      </c>
      <c r="D39" s="1" t="s">
        <v>26</v>
      </c>
      <c r="E39" s="1">
        <v>552</v>
      </c>
      <c r="F39" s="62">
        <v>0.3</v>
      </c>
      <c r="G39" s="63">
        <f>fourniture[[#This Row],[Stock]]*fourniture[[#This Row],[Prix Achat]]</f>
        <v>165.6</v>
      </c>
    </row>
    <row r="40" spans="1:7" x14ac:dyDescent="0.25">
      <c r="A40" s="1" t="str">
        <f>CONCATENATE(fourniture[[#This Row],[Type]],"_",fourniture[[#This Row],[Référence]])</f>
        <v>Etiquette_IATD100C</v>
      </c>
      <c r="B40" s="1" t="s">
        <v>14</v>
      </c>
      <c r="C40" s="1" t="s">
        <v>400</v>
      </c>
      <c r="D40" s="1" t="s">
        <v>25</v>
      </c>
      <c r="E40" s="1">
        <v>121</v>
      </c>
      <c r="F40" s="62">
        <v>0.3</v>
      </c>
      <c r="G40" s="63">
        <f>fourniture[[#This Row],[Stock]]*fourniture[[#This Row],[Prix Achat]]</f>
        <v>36.299999999999997</v>
      </c>
    </row>
    <row r="41" spans="1:7" x14ac:dyDescent="0.25">
      <c r="A41" s="1" t="str">
        <f>CONCATENATE(fourniture[[#This Row],[Type]],"_",fourniture[[#This Row],[Référence]])</f>
        <v>Etiquette_ILAU98C2P</v>
      </c>
      <c r="B41" s="1" t="s">
        <v>14</v>
      </c>
      <c r="C41" s="1" t="s">
        <v>393</v>
      </c>
      <c r="D41" s="1" t="s">
        <v>24</v>
      </c>
      <c r="E41" s="1">
        <v>115</v>
      </c>
      <c r="F41" s="62">
        <v>0.3</v>
      </c>
      <c r="G41" s="63">
        <f>fourniture[[#This Row],[Stock]]*fourniture[[#This Row],[Prix Achat]]</f>
        <v>34.5</v>
      </c>
    </row>
    <row r="42" spans="1:7" x14ac:dyDescent="0.25">
      <c r="A42" s="1" t="str">
        <f>CONCATENATE(fourniture[[#This Row],[Type]],"_",fourniture[[#This Row],[Référence]])</f>
        <v>Etiquette_ILAU90C10P</v>
      </c>
      <c r="B42" s="1" t="s">
        <v>14</v>
      </c>
      <c r="C42" s="1" t="s">
        <v>394</v>
      </c>
      <c r="D42" s="1" t="s">
        <v>23</v>
      </c>
      <c r="E42" s="1">
        <v>538</v>
      </c>
      <c r="F42" s="62">
        <v>0.3</v>
      </c>
      <c r="G42" s="63">
        <f>fourniture[[#This Row],[Stock]]*fourniture[[#This Row],[Prix Achat]]</f>
        <v>161.4</v>
      </c>
    </row>
    <row r="43" spans="1:7" x14ac:dyDescent="0.25">
      <c r="A43" s="1" t="str">
        <f>CONCATENATE(fourniture[[#This Row],[Type]],"_",fourniture[[#This Row],[Référence]])</f>
        <v>Etiquette_ILAU100C</v>
      </c>
      <c r="B43" s="1" t="s">
        <v>14</v>
      </c>
      <c r="C43" s="1" t="s">
        <v>395</v>
      </c>
      <c r="D43" s="1" t="s">
        <v>22</v>
      </c>
      <c r="E43" s="1">
        <v>5382</v>
      </c>
      <c r="F43" s="62">
        <v>0.3</v>
      </c>
      <c r="G43" s="63">
        <f>fourniture[[#This Row],[Stock]]*fourniture[[#This Row],[Prix Achat]]</f>
        <v>1614.6</v>
      </c>
    </row>
    <row r="44" spans="1:7" x14ac:dyDescent="0.25">
      <c r="A44" s="1" t="str">
        <f>CONCATENATE(fourniture[[#This Row],[Type]],"_",fourniture[[#This Row],[Référence]])</f>
        <v>Etiquette_ICF100C</v>
      </c>
      <c r="B44" s="1" t="s">
        <v>14</v>
      </c>
      <c r="C44" s="1" t="s">
        <v>396</v>
      </c>
      <c r="D44" s="1" t="s">
        <v>21</v>
      </c>
      <c r="E44" s="1">
        <v>67</v>
      </c>
      <c r="F44" s="62">
        <v>0.3</v>
      </c>
      <c r="G44" s="63">
        <f>fourniture[[#This Row],[Stock]]*fourniture[[#This Row],[Prix Achat]]</f>
        <v>20.099999999999998</v>
      </c>
    </row>
    <row r="45" spans="1:7" x14ac:dyDescent="0.25">
      <c r="A45" s="1" t="str">
        <f>CONCATENATE(fourniture[[#This Row],[Type]],"_",fourniture[[#This Row],[Référence]])</f>
        <v>Etiquette_TEME100C</v>
      </c>
      <c r="B45" s="1" t="s">
        <v>14</v>
      </c>
      <c r="C45" s="1" t="s">
        <v>397</v>
      </c>
      <c r="D45" s="1" t="s">
        <v>20</v>
      </c>
      <c r="E45" s="1">
        <v>667</v>
      </c>
      <c r="F45" s="62">
        <v>0.3</v>
      </c>
      <c r="G45" s="63">
        <f>fourniture[[#This Row],[Stock]]*fourniture[[#This Row],[Prix Achat]]</f>
        <v>200.1</v>
      </c>
    </row>
    <row r="46" spans="1:7" x14ac:dyDescent="0.25">
      <c r="A46" s="1" t="str">
        <f>CONCATENATE(fourniture[[#This Row],[Type]],"_",fourniture[[#This Row],[Référence]])</f>
        <v>Etiquette_TCC100C</v>
      </c>
      <c r="B46" s="1" t="s">
        <v>14</v>
      </c>
      <c r="C46" s="1" t="s">
        <v>361</v>
      </c>
      <c r="D46" s="1" t="s">
        <v>19</v>
      </c>
      <c r="E46" s="1">
        <v>598</v>
      </c>
      <c r="F46" s="62">
        <v>0.3</v>
      </c>
      <c r="G46" s="63">
        <f>fourniture[[#This Row],[Stock]]*fourniture[[#This Row],[Prix Achat]]</f>
        <v>179.4</v>
      </c>
    </row>
    <row r="47" spans="1:7" x14ac:dyDescent="0.25">
      <c r="A47" s="1" t="str">
        <f>CONCATENATE(fourniture[[#This Row],[Type]],"_",fourniture[[#This Row],[Référence]])</f>
        <v>Etiquette_IJF100C</v>
      </c>
      <c r="B47" s="1" t="s">
        <v>14</v>
      </c>
      <c r="C47" s="1" t="s">
        <v>398</v>
      </c>
      <c r="D47" s="2" t="s">
        <v>18</v>
      </c>
      <c r="E47" s="2">
        <v>100</v>
      </c>
      <c r="F47" s="62">
        <v>0.3</v>
      </c>
      <c r="G47" s="63">
        <f>fourniture[[#This Row],[Stock]]*fourniture[[#This Row],[Prix Achat]]</f>
        <v>30</v>
      </c>
    </row>
    <row r="48" spans="1:7" x14ac:dyDescent="0.25">
      <c r="A48" s="1" t="str">
        <f>CONCATENATE(fourniture[[#This Row],[Type]],"_",fourniture[[#This Row],[Référence]])</f>
        <v>Etiquette_IILO90C10A</v>
      </c>
      <c r="B48" s="1" t="s">
        <v>14</v>
      </c>
      <c r="C48" s="1" t="s">
        <v>399</v>
      </c>
      <c r="D48" s="2" t="s">
        <v>17</v>
      </c>
      <c r="E48" s="2">
        <v>26595</v>
      </c>
      <c r="F48" s="62">
        <v>0.3</v>
      </c>
      <c r="G48" s="63">
        <f>fourniture[[#This Row],[Stock]]*fourniture[[#This Row],[Prix Achat]]</f>
        <v>7978.5</v>
      </c>
    </row>
    <row r="49" spans="1:7" x14ac:dyDescent="0.25">
      <c r="A49" s="1" t="str">
        <f>CONCATENATE(fourniture[[#This Row],[Type]],"_",fourniture[[#This Row],[Référence]])</f>
        <v>Etiquette_IAT100C</v>
      </c>
      <c r="B49" s="1" t="s">
        <v>14</v>
      </c>
      <c r="C49" s="1" t="s">
        <v>392</v>
      </c>
      <c r="D49" s="2" t="s">
        <v>16</v>
      </c>
      <c r="E49" s="2">
        <v>3256</v>
      </c>
      <c r="F49" s="62">
        <v>0.3</v>
      </c>
      <c r="G49" s="63">
        <f>fourniture[[#This Row],[Stock]]*fourniture[[#This Row],[Prix Achat]]</f>
        <v>976.8</v>
      </c>
    </row>
    <row r="50" spans="1:7" x14ac:dyDescent="0.25">
      <c r="A50" s="1" t="str">
        <f>CONCATENATE(fourniture[[#This Row],[Type]],"_",fourniture[[#This Row],[Référence]])</f>
        <v>Etiquette_IAT60C40P</v>
      </c>
      <c r="B50" s="1" t="s">
        <v>14</v>
      </c>
      <c r="C50" s="1" t="s">
        <v>401</v>
      </c>
      <c r="D50" s="2" t="s">
        <v>15</v>
      </c>
      <c r="E50" s="2">
        <v>1900</v>
      </c>
      <c r="F50" s="62">
        <v>0.3</v>
      </c>
      <c r="G50" s="63">
        <f>fourniture[[#This Row],[Stock]]*fourniture[[#This Row],[Prix Achat]]</f>
        <v>570</v>
      </c>
    </row>
    <row r="51" spans="1:7" x14ac:dyDescent="0.25">
      <c r="A51" s="1" t="str">
        <f>CONCATENATE(fourniture[[#This Row],[Type]],"_",fourniture[[#This Row],[Référence]])</f>
        <v>Etiquette_IAT50L48C2P</v>
      </c>
      <c r="B51" s="1" t="s">
        <v>14</v>
      </c>
      <c r="C51" s="1" t="s">
        <v>402</v>
      </c>
      <c r="D51" s="2" t="s">
        <v>13</v>
      </c>
      <c r="E51" s="1">
        <v>550</v>
      </c>
      <c r="F51" s="62">
        <v>0.3</v>
      </c>
      <c r="G51" s="63">
        <f>fourniture[[#This Row],[Stock]]*fourniture[[#This Row],[Prix Achat]]</f>
        <v>165</v>
      </c>
    </row>
    <row r="52" spans="1:7" x14ac:dyDescent="0.25">
      <c r="A52" s="1" t="str">
        <f>CONCATENATE(fourniture[[#This Row],[Type]],"_",fourniture[[#This Row],[Référence]])</f>
        <v>Emballage_FILP</v>
      </c>
      <c r="B52" s="1" t="s">
        <v>1</v>
      </c>
      <c r="C52" s="1" t="s">
        <v>403</v>
      </c>
      <c r="D52" s="1" t="s">
        <v>12</v>
      </c>
      <c r="E52" s="1">
        <v>14</v>
      </c>
      <c r="F52" s="62">
        <v>15</v>
      </c>
      <c r="G52" s="63">
        <f>fourniture[[#This Row],[Stock]]*fourniture[[#This Row],[Prix Achat]]</f>
        <v>210</v>
      </c>
    </row>
    <row r="53" spans="1:7" x14ac:dyDescent="0.25">
      <c r="A53" s="1" t="str">
        <f>CONCATENATE(fourniture[[#This Row],[Type]],"_",fourniture[[#This Row],[Référence]])</f>
        <v>Emballage_SCOHAV</v>
      </c>
      <c r="B53" s="1" t="s">
        <v>1</v>
      </c>
      <c r="C53" s="1" t="s">
        <v>404</v>
      </c>
      <c r="D53" s="1" t="s">
        <v>11</v>
      </c>
      <c r="E53" s="1">
        <v>56</v>
      </c>
      <c r="F53" s="62">
        <v>3.5</v>
      </c>
      <c r="G53" s="63">
        <f>fourniture[[#This Row],[Stock]]*fourniture[[#This Row],[Prix Achat]]</f>
        <v>196</v>
      </c>
    </row>
    <row r="54" spans="1:7" x14ac:dyDescent="0.25">
      <c r="A54" s="1" t="str">
        <f>CONCATENATE(fourniture[[#This Row],[Type]],"_",fourniture[[#This Row],[Référence]])</f>
        <v>Emballage_SCOPOLY</v>
      </c>
      <c r="B54" s="1" t="s">
        <v>1</v>
      </c>
      <c r="C54" s="1" t="s">
        <v>405</v>
      </c>
      <c r="D54" s="1" t="s">
        <v>10</v>
      </c>
      <c r="E54" s="1">
        <v>13</v>
      </c>
      <c r="F54" s="62">
        <v>1.5</v>
      </c>
      <c r="G54" s="63">
        <f>fourniture[[#This Row],[Stock]]*fourniture[[#This Row],[Prix Achat]]</f>
        <v>19.5</v>
      </c>
    </row>
    <row r="55" spans="1:7" x14ac:dyDescent="0.25">
      <c r="A55" s="1" t="str">
        <f>CONCATENATE(fourniture[[#This Row],[Type]],"_",fourniture[[#This Row],[Référence]])</f>
        <v>Emballage_CAR464</v>
      </c>
      <c r="B55" s="1" t="s">
        <v>1</v>
      </c>
      <c r="C55" s="1" t="s">
        <v>406</v>
      </c>
      <c r="D55" s="1" t="s">
        <v>9</v>
      </c>
      <c r="E55" s="1">
        <v>100</v>
      </c>
      <c r="F55" s="62">
        <v>3.5</v>
      </c>
      <c r="G55" s="63">
        <f>fourniture[[#This Row],[Stock]]*fourniture[[#This Row],[Prix Achat]]</f>
        <v>350</v>
      </c>
    </row>
    <row r="56" spans="1:7" x14ac:dyDescent="0.25">
      <c r="A56" s="1" t="str">
        <f>CONCATENATE(fourniture[[#This Row],[Type]],"_",fourniture[[#This Row],[Référence]])</f>
        <v>Emballage_CAR462</v>
      </c>
      <c r="B56" s="1" t="s">
        <v>1</v>
      </c>
      <c r="C56" s="1" t="s">
        <v>407</v>
      </c>
      <c r="D56" s="1" t="s">
        <v>8</v>
      </c>
      <c r="E56" s="1">
        <v>100</v>
      </c>
      <c r="F56" s="62">
        <v>3</v>
      </c>
      <c r="G56" s="63">
        <f>fourniture[[#This Row],[Stock]]*fourniture[[#This Row],[Prix Achat]]</f>
        <v>300</v>
      </c>
    </row>
    <row r="57" spans="1:7" x14ac:dyDescent="0.25">
      <c r="A57" s="1" t="str">
        <f>CONCATENATE(fourniture[[#This Row],[Type]],"_",fourniture[[#This Row],[Référence]])</f>
        <v>Emballage_CAR433</v>
      </c>
      <c r="B57" s="1" t="s">
        <v>1</v>
      </c>
      <c r="C57" s="1" t="s">
        <v>408</v>
      </c>
      <c r="D57" s="1" t="s">
        <v>7</v>
      </c>
      <c r="E57" s="1">
        <v>0</v>
      </c>
      <c r="F57" s="62">
        <v>3</v>
      </c>
      <c r="G57" s="63">
        <f>fourniture[[#This Row],[Stock]]*fourniture[[#This Row],[Prix Achat]]</f>
        <v>0</v>
      </c>
    </row>
    <row r="58" spans="1:7" x14ac:dyDescent="0.25">
      <c r="A58" s="1" t="str">
        <f>CONCATENATE(fourniture[[#This Row],[Type]],"_",fourniture[[#This Row],[Référence]])</f>
        <v>Hantag_CSHAEP031</v>
      </c>
      <c r="B58" s="1" t="s">
        <v>3</v>
      </c>
      <c r="C58" s="1" t="s">
        <v>415</v>
      </c>
      <c r="D58" s="1" t="s">
        <v>6</v>
      </c>
      <c r="E58" s="1">
        <v>551</v>
      </c>
      <c r="F58" s="62">
        <v>0.3</v>
      </c>
      <c r="G58" s="63">
        <f>fourniture[[#This Row],[Stock]]*fourniture[[#This Row],[Prix Achat]]</f>
        <v>165.29999999999998</v>
      </c>
    </row>
    <row r="59" spans="1:7" x14ac:dyDescent="0.25">
      <c r="A59" s="1" t="str">
        <f>CONCATENATE(fourniture[[#This Row],[Type]],"_",fourniture[[#This Row],[Référence]])</f>
        <v>Hantag_CSHAM1020C</v>
      </c>
      <c r="B59" s="1" t="s">
        <v>3</v>
      </c>
      <c r="C59" s="1" t="s">
        <v>417</v>
      </c>
      <c r="D59" s="1" t="s">
        <v>5</v>
      </c>
      <c r="E59" s="1">
        <v>0</v>
      </c>
      <c r="F59" s="62">
        <v>0.3</v>
      </c>
      <c r="G59" s="63">
        <f>fourniture[[#This Row],[Stock]]*fourniture[[#This Row],[Prix Achat]]</f>
        <v>0</v>
      </c>
    </row>
    <row r="60" spans="1:7" x14ac:dyDescent="0.25">
      <c r="A60" s="1" t="str">
        <f>CONCATENATE(fourniture[[#This Row],[Type]],"_",fourniture[[#This Row],[Référence]])</f>
        <v>Hantag_CSHAM2020C</v>
      </c>
      <c r="B60" s="1" t="s">
        <v>3</v>
      </c>
      <c r="C60" s="1" t="s">
        <v>416</v>
      </c>
      <c r="D60" s="1" t="s">
        <v>4</v>
      </c>
      <c r="E60" s="1">
        <v>93</v>
      </c>
      <c r="F60" s="62">
        <v>0.3</v>
      </c>
      <c r="G60" s="63">
        <f>fourniture[[#This Row],[Stock]]*fourniture[[#This Row],[Prix Achat]]</f>
        <v>27.9</v>
      </c>
    </row>
    <row r="61" spans="1:7" x14ac:dyDescent="0.25">
      <c r="A61" s="1" t="str">
        <f>CONCATENATE(fourniture[[#This Row],[Type]],"_",fourniture[[#This Row],[Référence]])</f>
        <v>Hantag_CODPON</v>
      </c>
      <c r="B61" s="1" t="s">
        <v>3</v>
      </c>
      <c r="C61" s="1" t="s">
        <v>411</v>
      </c>
      <c r="D61" s="1" t="s">
        <v>2</v>
      </c>
      <c r="E61" s="1">
        <v>124</v>
      </c>
      <c r="F61" s="62">
        <v>0.3</v>
      </c>
      <c r="G61" s="63">
        <f>fourniture[[#This Row],[Stock]]*fourniture[[#This Row],[Prix Achat]]</f>
        <v>37.199999999999996</v>
      </c>
    </row>
    <row r="62" spans="1:7" x14ac:dyDescent="0.25">
      <c r="A62" s="1" t="str">
        <f>CONCATENATE(fourniture[[#This Row],[Type]],"_",fourniture[[#This Row],[Référence]])</f>
        <v>Emballage_COFECHSP</v>
      </c>
      <c r="B62" s="1" t="s">
        <v>1</v>
      </c>
      <c r="C62" s="1" t="s">
        <v>412</v>
      </c>
      <c r="D62" s="1" t="s">
        <v>0</v>
      </c>
      <c r="E62" s="1">
        <v>0</v>
      </c>
      <c r="F62" s="62">
        <v>4</v>
      </c>
      <c r="G62" s="63">
        <f>fourniture[[#This Row],[Stock]]*fourniture[[#This Row],[Prix Achat]]</f>
        <v>0</v>
      </c>
    </row>
    <row r="63" spans="1:7" x14ac:dyDescent="0.25">
      <c r="A63" s="1" t="str">
        <f>CONCATENATE(fourniture[[#This Row],[Type]],"_",fourniture[[#This Row],[Référence]])</f>
        <v>Emballage_COFECHABF</v>
      </c>
      <c r="B63" s="1" t="s">
        <v>1</v>
      </c>
      <c r="C63" s="1" t="s">
        <v>413</v>
      </c>
      <c r="D63" s="1" t="s">
        <v>344</v>
      </c>
      <c r="E63" s="1">
        <v>0</v>
      </c>
      <c r="F63" s="62">
        <v>4</v>
      </c>
      <c r="G63" s="63">
        <f>fourniture[[#This Row],[Stock]]*fourniture[[#This Row],[Prix Achat]]</f>
        <v>0</v>
      </c>
    </row>
    <row r="64" spans="1:7" x14ac:dyDescent="0.25">
      <c r="A64" s="1" t="str">
        <f>CONCATENATE(fourniture[[#This Row],[Type]],"_",fourniture[[#This Row],[Référence]])</f>
        <v>Emballage_COFJETABF</v>
      </c>
      <c r="B64" s="1" t="s">
        <v>1</v>
      </c>
      <c r="C64" s="1" t="s">
        <v>414</v>
      </c>
      <c r="D64" s="1" t="s">
        <v>345</v>
      </c>
      <c r="E64" s="1">
        <v>0</v>
      </c>
      <c r="F64" s="62">
        <v>6</v>
      </c>
      <c r="G64" s="63">
        <f>fourniture[[#This Row],[Stock]]*fourniture[[#This Row],[Prix Achat]]</f>
        <v>0</v>
      </c>
    </row>
    <row r="65" spans="1:7" x14ac:dyDescent="0.25">
      <c r="A65" s="1" t="str">
        <f>CONCATENATE(fourniture[[#This Row],[Type]],"_",fourniture[[#This Row],[Référence]])</f>
        <v>Hantag_CABFSCOD</v>
      </c>
      <c r="B65" s="1" t="s">
        <v>3</v>
      </c>
      <c r="C65" s="1" t="s">
        <v>410</v>
      </c>
      <c r="D65" s="1" t="s">
        <v>409</v>
      </c>
      <c r="E65" s="1">
        <v>729</v>
      </c>
      <c r="F65" s="62">
        <v>0.3</v>
      </c>
      <c r="G65" s="64">
        <f>fourniture[[#This Row],[Stock]]*fourniture[[#This Row],[Prix Achat]]</f>
        <v>218.7</v>
      </c>
    </row>
  </sheetData>
  <pageMargins left="0.39370078740157483" right="0" top="0.15748031496062992" bottom="0.19685039370078741" header="0.59055118110236215" footer="0.59055118110236215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2DDC1-9C4B-4B6E-8DA3-10E2C8ABC9FB}">
  <dimension ref="A1:W629"/>
  <sheetViews>
    <sheetView view="pageLayout" topLeftCell="O1" zoomScaleNormal="100" workbookViewId="0">
      <selection activeCell="W1" sqref="W1"/>
    </sheetView>
  </sheetViews>
  <sheetFormatPr baseColWidth="10" defaultRowHeight="84.95" customHeight="1" x14ac:dyDescent="0.25"/>
  <cols>
    <col min="1" max="1" width="6.5703125" customWidth="1"/>
    <col min="2" max="2" width="10.7109375" customWidth="1"/>
    <col min="3" max="3" width="3.85546875" customWidth="1"/>
    <col min="4" max="4" width="3.7109375" customWidth="1"/>
    <col min="6" max="6" width="1.140625" customWidth="1"/>
    <col min="7" max="7" width="4" customWidth="1"/>
    <col min="8" max="8" width="11.42578125" customWidth="1"/>
    <col min="9" max="9" width="1" customWidth="1"/>
    <col min="10" max="10" width="5.7109375" customWidth="1"/>
    <col min="11" max="11" width="2.7109375" customWidth="1"/>
    <col min="12" max="12" width="33.28515625" customWidth="1"/>
    <col min="13" max="13" width="8.28515625" customWidth="1"/>
    <col min="14" max="14" width="16.7109375" customWidth="1"/>
    <col min="15" max="15" width="5.7109375" customWidth="1"/>
    <col min="16" max="16" width="12.7109375" customWidth="1"/>
    <col min="17" max="17" width="12" customWidth="1"/>
    <col min="18" max="18" width="7.140625" customWidth="1"/>
    <col min="19" max="19" width="10.42578125" customWidth="1"/>
    <col min="20" max="20" width="7.42578125" customWidth="1"/>
    <col min="21" max="21" width="7" customWidth="1"/>
    <col min="22" max="22" width="8.28515625" customWidth="1"/>
    <col min="23" max="23" width="28.42578125" customWidth="1"/>
  </cols>
  <sheetData>
    <row r="1" spans="1:23" ht="78.75" customHeight="1" thickBot="1" x14ac:dyDescent="0.3">
      <c r="A1" s="25" t="s">
        <v>317</v>
      </c>
      <c r="B1" s="27" t="s">
        <v>316</v>
      </c>
      <c r="C1" s="25" t="s">
        <v>315</v>
      </c>
      <c r="D1" s="25" t="s">
        <v>314</v>
      </c>
      <c r="E1" s="23" t="s">
        <v>322</v>
      </c>
      <c r="F1" s="26" t="s">
        <v>321</v>
      </c>
      <c r="G1" s="25" t="s">
        <v>313</v>
      </c>
      <c r="H1" s="24" t="s">
        <v>320</v>
      </c>
      <c r="I1" s="24"/>
      <c r="J1" s="84" t="s">
        <v>319</v>
      </c>
      <c r="K1" s="85"/>
      <c r="L1" s="22" t="s">
        <v>318</v>
      </c>
      <c r="M1" s="5" t="s">
        <v>317</v>
      </c>
      <c r="N1" s="4" t="s">
        <v>316</v>
      </c>
      <c r="O1" s="59" t="s">
        <v>351</v>
      </c>
      <c r="P1" s="4" t="s">
        <v>314</v>
      </c>
      <c r="Q1" s="21" t="s">
        <v>313</v>
      </c>
      <c r="R1" s="4" t="s">
        <v>312</v>
      </c>
      <c r="S1" s="4" t="s">
        <v>346</v>
      </c>
      <c r="T1" s="4" t="s">
        <v>311</v>
      </c>
      <c r="U1" s="4" t="s">
        <v>310</v>
      </c>
      <c r="V1" s="4" t="s">
        <v>347</v>
      </c>
      <c r="W1" s="4" t="s">
        <v>429</v>
      </c>
    </row>
    <row r="2" spans="1:23" ht="19.7" customHeight="1" thickBot="1" x14ac:dyDescent="0.3">
      <c r="A2" s="67" t="str">
        <f>Matiere_premiere[[#This Row],[NUMERO METRIQUE]]</f>
        <v>NM05</v>
      </c>
      <c r="B2" s="70" t="str">
        <f>Matiere_premiere[[#This Row],[COULEUR]]</f>
        <v>BLANC</v>
      </c>
      <c r="C2" s="70" t="str">
        <f>Matiere_premiere[[#This Row],[CODE COLEUR]]</f>
        <v>C01</v>
      </c>
      <c r="D2" s="73" t="str">
        <f>Matiere_premiere[[#This Row],[CODE FAB]]</f>
        <v>NM05-01.00</v>
      </c>
      <c r="E2" s="89" t="e" vm="1">
        <f>_xlfn.IMAGE("https://api.qrserver.com/v1/create-qr-code/?size=100x100&amp;data=" &amp; D2)</f>
        <v>#VALUE!</v>
      </c>
      <c r="F2" s="82"/>
      <c r="G2" s="73" t="str">
        <f>Matiere_premiere[[#This Row],[Num de Lot]]</f>
        <v>S2023</v>
      </c>
      <c r="H2" s="89" t="e" vm="2">
        <f>_xlfn.IMAGE("https://api.qrserver.com/v1/create-qr-code/?size=100x100&amp;data=" &amp; G2)</f>
        <v>#VALUE!</v>
      </c>
      <c r="I2" s="83"/>
      <c r="J2" s="12" t="str">
        <f>Matiere_premiere[[#This Row],[Entrepot]]</f>
        <v>E1</v>
      </c>
      <c r="K2" s="9" t="b">
        <f>IF(Matiere_premiere[[#This Row],[INVENTAIRE]]&gt;0,TRUE,FALSE)</f>
        <v>0</v>
      </c>
      <c r="L2" s="86"/>
      <c r="M2" s="19" t="s">
        <v>119</v>
      </c>
      <c r="N2" s="8" t="s">
        <v>308</v>
      </c>
      <c r="O2" s="8" t="s">
        <v>307</v>
      </c>
      <c r="P2" s="8" t="s">
        <v>309</v>
      </c>
      <c r="Q2" s="53" t="s">
        <v>69</v>
      </c>
      <c r="R2" s="8" t="s">
        <v>75</v>
      </c>
      <c r="S2" s="7">
        <v>0</v>
      </c>
      <c r="T2" s="20"/>
      <c r="U2" s="20"/>
      <c r="V2" s="20">
        <f>SUM(Matiere_premiere[[#This Row],[INVENTAIRE]],-Matiere_premiere[[#This Row],[Entrée]],-Matiere_premiere[[#This Row],[Sortis]])</f>
        <v>0</v>
      </c>
      <c r="W2" s="51" t="str">
        <f>CONCATENATE(Matiere_premiere[[#This Row],[CODE COLEUR]],"_",Matiere_premiere[[#This Row],[COULEUR]],"_",Matiere_premiere[[#This Row],[CODE FAB]],"_",Matiere_premiere[[#This Row],[Num de Lot]])</f>
        <v>C01_BLANC_NM05-01.00_S2023</v>
      </c>
    </row>
    <row r="3" spans="1:23" ht="19.7" customHeight="1" thickBot="1" x14ac:dyDescent="0.3">
      <c r="A3" s="68"/>
      <c r="B3" s="71"/>
      <c r="C3" s="71"/>
      <c r="D3" s="74"/>
      <c r="E3" s="76"/>
      <c r="F3" s="78"/>
      <c r="G3" s="74"/>
      <c r="H3" s="76"/>
      <c r="I3" s="80"/>
      <c r="J3" s="11" t="str">
        <f>Matiere_premiere[[#This Row],[Entrepot]]</f>
        <v>E2</v>
      </c>
      <c r="K3" s="9" t="b">
        <f>IF(Matiere_premiere[[#This Row],[INVENTAIRE]]&gt;0,TRUE,FALSE)</f>
        <v>1</v>
      </c>
      <c r="L3" s="87"/>
      <c r="M3" s="19" t="s">
        <v>119</v>
      </c>
      <c r="N3" s="8" t="s">
        <v>308</v>
      </c>
      <c r="O3" s="8" t="s">
        <v>307</v>
      </c>
      <c r="P3" s="8" t="s">
        <v>309</v>
      </c>
      <c r="Q3" s="53" t="s">
        <v>69</v>
      </c>
      <c r="R3" s="8" t="s">
        <v>74</v>
      </c>
      <c r="S3" s="7">
        <v>381.5</v>
      </c>
      <c r="T3" s="7"/>
      <c r="U3" s="7"/>
      <c r="V3" s="7">
        <f>SUM(Matiere_premiere[[#This Row],[INVENTAIRE]],-Matiere_premiere[[#This Row],[Entrée]],-Matiere_premiere[[#This Row],[Sortis]])</f>
        <v>381.5</v>
      </c>
      <c r="W3" s="50" t="str">
        <f>CONCATENATE(Matiere_premiere[[#This Row],[CODE COLEUR]],"_",Matiere_premiere[[#This Row],[COULEUR]],"_",Matiere_premiere[[#This Row],[CODE FAB]],"_",Matiere_premiere[[#This Row],[Num de Lot]])</f>
        <v>C01_BLANC_NM05-01.00_S2023</v>
      </c>
    </row>
    <row r="4" spans="1:23" ht="19.7" customHeight="1" thickBot="1" x14ac:dyDescent="0.3">
      <c r="A4" s="68"/>
      <c r="B4" s="71"/>
      <c r="C4" s="71"/>
      <c r="D4" s="74"/>
      <c r="E4" s="76"/>
      <c r="F4" s="78"/>
      <c r="G4" s="74"/>
      <c r="H4" s="76"/>
      <c r="I4" s="80"/>
      <c r="J4" s="11" t="str">
        <f>Matiere_premiere[[#This Row],[Entrepot]]</f>
        <v>E3</v>
      </c>
      <c r="K4" s="9" t="b">
        <f>IF(Matiere_premiere[[#This Row],[INVENTAIRE]]&gt;0,TRUE,FALSE)</f>
        <v>0</v>
      </c>
      <c r="L4" s="87"/>
      <c r="M4" s="19" t="s">
        <v>119</v>
      </c>
      <c r="N4" s="8" t="s">
        <v>308</v>
      </c>
      <c r="O4" s="8" t="s">
        <v>307</v>
      </c>
      <c r="P4" s="8" t="s">
        <v>309</v>
      </c>
      <c r="Q4" s="53" t="s">
        <v>69</v>
      </c>
      <c r="R4" s="8" t="s">
        <v>73</v>
      </c>
      <c r="S4" s="7">
        <v>0</v>
      </c>
      <c r="T4" s="7"/>
      <c r="U4" s="7"/>
      <c r="V4" s="7">
        <f>SUM(Matiere_premiere[[#This Row],[INVENTAIRE]],-Matiere_premiere[[#This Row],[Entrée]],-Matiere_premiere[[#This Row],[Sortis]])</f>
        <v>0</v>
      </c>
      <c r="W4" s="50" t="str">
        <f>CONCATENATE(Matiere_premiere[[#This Row],[CODE COLEUR]],"_",Matiere_premiere[[#This Row],[COULEUR]],"_",Matiere_premiere[[#This Row],[CODE FAB]],"_",Matiere_premiere[[#This Row],[Num de Lot]])</f>
        <v>C01_BLANC_NM05-01.00_S2023</v>
      </c>
    </row>
    <row r="5" spans="1:23" ht="19.7" customHeight="1" thickBot="1" x14ac:dyDescent="0.3">
      <c r="A5" s="69"/>
      <c r="B5" s="72"/>
      <c r="C5" s="72"/>
      <c r="D5" s="75"/>
      <c r="E5" s="77"/>
      <c r="F5" s="79"/>
      <c r="G5" s="75"/>
      <c r="H5" s="77"/>
      <c r="I5" s="81"/>
      <c r="J5" s="10" t="str">
        <f>Matiere_premiere[[#This Row],[Entrepot]]</f>
        <v>Usine</v>
      </c>
      <c r="K5" s="9" t="b">
        <f>IF(Matiere_premiere[[#This Row],[INVENTAIRE]]&gt;0,TRUE,FALSE)</f>
        <v>0</v>
      </c>
      <c r="L5" s="88"/>
      <c r="M5" s="19" t="s">
        <v>119</v>
      </c>
      <c r="N5" s="8" t="s">
        <v>308</v>
      </c>
      <c r="O5" s="8" t="s">
        <v>307</v>
      </c>
      <c r="P5" s="8" t="s">
        <v>309</v>
      </c>
      <c r="Q5" s="53" t="s">
        <v>69</v>
      </c>
      <c r="R5" s="8" t="s">
        <v>68</v>
      </c>
      <c r="S5" s="7">
        <v>0</v>
      </c>
      <c r="T5" s="7"/>
      <c r="U5" s="7"/>
      <c r="V5" s="7">
        <f>SUM(Matiere_premiere[[#This Row],[INVENTAIRE]],-Matiere_premiere[[#This Row],[Entrée]],-Matiere_premiere[[#This Row],[Sortis]])</f>
        <v>0</v>
      </c>
      <c r="W5" s="50" t="str">
        <f>CONCATENATE(Matiere_premiere[[#This Row],[CODE COLEUR]],"_",Matiere_premiere[[#This Row],[COULEUR]],"_",Matiere_premiere[[#This Row],[CODE FAB]],"_",Matiere_premiere[[#This Row],[Num de Lot]])</f>
        <v>C01_BLANC_NM05-01.00_S2023</v>
      </c>
    </row>
    <row r="6" spans="1:23" ht="19.7" customHeight="1" thickTop="1" thickBot="1" x14ac:dyDescent="0.3">
      <c r="A6" s="67" t="str">
        <f>Matiere_premiere[[#This Row],[NUMERO METRIQUE]]</f>
        <v>NM15</v>
      </c>
      <c r="B6" s="70" t="str">
        <f>Matiere_premiere[[#This Row],[COULEUR]]</f>
        <v>BLANC</v>
      </c>
      <c r="C6" s="70" t="str">
        <f>Matiere_premiere[[#This Row],[CODE COLEUR]]</f>
        <v>C01</v>
      </c>
      <c r="D6" s="73" t="str">
        <f>Matiere_premiere[[#This Row],[CODE FAB]]</f>
        <v>NM15-01.00</v>
      </c>
      <c r="E6" s="76" t="e" vm="3">
        <f>_xlfn.IMAGE("https://api.qrserver.com/v1/create-qr-code/?size=100x100&amp;data=" &amp; D6)</f>
        <v>#VALUE!</v>
      </c>
      <c r="F6" s="78"/>
      <c r="G6" s="73">
        <f>Matiere_premiere[[#This Row],[Num de Lot]]</f>
        <v>63555</v>
      </c>
      <c r="H6" s="76" t="e" vm="4">
        <f>_xlfn.IMAGE("https://api.qrserver.com/v1/create-qr-code/?size=100x100&amp;data=" &amp; G6)</f>
        <v>#VALUE!</v>
      </c>
      <c r="I6" s="80"/>
      <c r="J6" s="12" t="str">
        <f>Matiere_premiere[[#This Row],[Entrepot]]</f>
        <v>E1</v>
      </c>
      <c r="K6" s="9" t="b">
        <f>IF(Matiere_premiere[[#This Row],[INVENTAIRE]]&gt;0,TRUE,FALSE)</f>
        <v>0</v>
      </c>
      <c r="L6" s="65"/>
      <c r="M6" s="13" t="s">
        <v>103</v>
      </c>
      <c r="N6" s="16" t="s">
        <v>308</v>
      </c>
      <c r="O6" s="16" t="s">
        <v>307</v>
      </c>
      <c r="P6" s="16" t="s">
        <v>306</v>
      </c>
      <c r="Q6" s="54">
        <v>63555</v>
      </c>
      <c r="R6" s="13" t="s">
        <v>75</v>
      </c>
      <c r="S6" s="14">
        <v>0</v>
      </c>
      <c r="T6" s="14"/>
      <c r="U6" s="14"/>
      <c r="V6" s="14">
        <f>SUM(Matiere_premiere[[#This Row],[INVENTAIRE]],-Matiere_premiere[[#This Row],[Entrée]],-Matiere_premiere[[#This Row],[Sortis]])</f>
        <v>0</v>
      </c>
      <c r="W6" s="50" t="str">
        <f>CONCATENATE(Matiere_premiere[[#This Row],[CODE COLEUR]],"_",Matiere_premiere[[#This Row],[COULEUR]],"_",Matiere_premiere[[#This Row],[CODE FAB]],"_",Matiere_premiere[[#This Row],[Num de Lot]])</f>
        <v>C01_BLANC_NM15-01.00_63555</v>
      </c>
    </row>
    <row r="7" spans="1:23" ht="19.7" customHeight="1" thickBot="1" x14ac:dyDescent="0.3">
      <c r="A7" s="68"/>
      <c r="B7" s="71"/>
      <c r="C7" s="71"/>
      <c r="D7" s="74"/>
      <c r="E7" s="76"/>
      <c r="F7" s="78"/>
      <c r="G7" s="74"/>
      <c r="H7" s="76"/>
      <c r="I7" s="80"/>
      <c r="J7" s="11" t="str">
        <f>Matiere_premiere[[#This Row],[Entrepot]]</f>
        <v>E2</v>
      </c>
      <c r="K7" s="9" t="b">
        <f>IF(Matiere_premiere[[#This Row],[INVENTAIRE]]&gt;0,TRUE,FALSE)</f>
        <v>0</v>
      </c>
      <c r="L7" s="65"/>
      <c r="M7" s="16" t="s">
        <v>103</v>
      </c>
      <c r="N7" s="16" t="s">
        <v>308</v>
      </c>
      <c r="O7" s="16" t="s">
        <v>307</v>
      </c>
      <c r="P7" s="16" t="s">
        <v>306</v>
      </c>
      <c r="Q7" s="54">
        <v>63555</v>
      </c>
      <c r="R7" s="13" t="s">
        <v>74</v>
      </c>
      <c r="S7" s="14">
        <v>0</v>
      </c>
      <c r="T7" s="14"/>
      <c r="U7" s="14"/>
      <c r="V7" s="14">
        <f>SUM(Matiere_premiere[[#This Row],[INVENTAIRE]],-Matiere_premiere[[#This Row],[Entrée]],-Matiere_premiere[[#This Row],[Sortis]])</f>
        <v>0</v>
      </c>
      <c r="W7" s="50" t="str">
        <f>CONCATENATE(Matiere_premiere[[#This Row],[CODE COLEUR]],"_",Matiere_premiere[[#This Row],[COULEUR]],"_",Matiere_premiere[[#This Row],[CODE FAB]],"_",Matiere_premiere[[#This Row],[Num de Lot]])</f>
        <v>C01_BLANC_NM15-01.00_63555</v>
      </c>
    </row>
    <row r="8" spans="1:23" ht="19.7" customHeight="1" thickBot="1" x14ac:dyDescent="0.3">
      <c r="A8" s="68"/>
      <c r="B8" s="71"/>
      <c r="C8" s="71"/>
      <c r="D8" s="74"/>
      <c r="E8" s="76"/>
      <c r="F8" s="78"/>
      <c r="G8" s="74"/>
      <c r="H8" s="76"/>
      <c r="I8" s="80"/>
      <c r="J8" s="11" t="str">
        <f>Matiere_premiere[[#This Row],[Entrepot]]</f>
        <v>E3</v>
      </c>
      <c r="K8" s="9" t="b">
        <f>IF(Matiere_premiere[[#This Row],[INVENTAIRE]]&gt;0,TRUE,FALSE)</f>
        <v>0</v>
      </c>
      <c r="L8" s="65"/>
      <c r="M8" s="16" t="s">
        <v>103</v>
      </c>
      <c r="N8" s="16" t="s">
        <v>308</v>
      </c>
      <c r="O8" s="16" t="s">
        <v>307</v>
      </c>
      <c r="P8" s="16" t="s">
        <v>306</v>
      </c>
      <c r="Q8" s="54">
        <v>63555</v>
      </c>
      <c r="R8" s="13" t="s">
        <v>73</v>
      </c>
      <c r="S8" s="14">
        <v>0</v>
      </c>
      <c r="T8" s="14"/>
      <c r="U8" s="14"/>
      <c r="V8" s="14">
        <f>SUM(Matiere_premiere[[#This Row],[INVENTAIRE]],-Matiere_premiere[[#This Row],[Entrée]],-Matiere_premiere[[#This Row],[Sortis]])</f>
        <v>0</v>
      </c>
      <c r="W8" s="50" t="str">
        <f>CONCATENATE(Matiere_premiere[[#This Row],[CODE COLEUR]],"_",Matiere_premiere[[#This Row],[COULEUR]],"_",Matiere_premiere[[#This Row],[CODE FAB]],"_",Matiere_premiere[[#This Row],[Num de Lot]])</f>
        <v>C01_BLANC_NM15-01.00_63555</v>
      </c>
    </row>
    <row r="9" spans="1:23" ht="19.7" customHeight="1" thickBot="1" x14ac:dyDescent="0.3">
      <c r="A9" s="69"/>
      <c r="B9" s="72"/>
      <c r="C9" s="72"/>
      <c r="D9" s="75"/>
      <c r="E9" s="77"/>
      <c r="F9" s="79"/>
      <c r="G9" s="75"/>
      <c r="H9" s="77"/>
      <c r="I9" s="81"/>
      <c r="J9" s="10" t="str">
        <f>Matiere_premiere[[#This Row],[Entrepot]]</f>
        <v>Usine</v>
      </c>
      <c r="K9" s="9" t="b">
        <f>IF(Matiere_premiere[[#This Row],[INVENTAIRE]]&gt;0,TRUE,FALSE)</f>
        <v>0</v>
      </c>
      <c r="L9" s="66"/>
      <c r="M9" s="13" t="s">
        <v>103</v>
      </c>
      <c r="N9" s="13" t="s">
        <v>308</v>
      </c>
      <c r="O9" s="13" t="s">
        <v>307</v>
      </c>
      <c r="P9" s="13" t="s">
        <v>306</v>
      </c>
      <c r="Q9" s="55">
        <v>63555</v>
      </c>
      <c r="R9" s="13" t="s">
        <v>68</v>
      </c>
      <c r="S9" s="14">
        <v>0</v>
      </c>
      <c r="T9" s="14"/>
      <c r="U9" s="14"/>
      <c r="V9" s="14">
        <f>SUM(Matiere_premiere[[#This Row],[INVENTAIRE]],-Matiere_premiere[[#This Row],[Entrée]],-Matiere_premiere[[#This Row],[Sortis]])</f>
        <v>0</v>
      </c>
      <c r="W9" s="50" t="str">
        <f>CONCATENATE(Matiere_premiere[[#This Row],[CODE COLEUR]],"_",Matiere_premiere[[#This Row],[COULEUR]],"_",Matiere_premiere[[#This Row],[CODE FAB]],"_",Matiere_premiere[[#This Row],[Num de Lot]])</f>
        <v>C01_BLANC_NM15-01.00_63555</v>
      </c>
    </row>
    <row r="10" spans="1:23" ht="19.7" customHeight="1" thickTop="1" thickBot="1" x14ac:dyDescent="0.3">
      <c r="A10" s="67" t="str">
        <f>Matiere_premiere[[#This Row],[NUMERO METRIQUE]]</f>
        <v>NM15</v>
      </c>
      <c r="B10" s="70" t="str">
        <f>Matiere_premiere[[#This Row],[COULEUR]]</f>
        <v>BLANC</v>
      </c>
      <c r="C10" s="70" t="str">
        <f>Matiere_premiere[[#This Row],[CODE COLEUR]]</f>
        <v>C01</v>
      </c>
      <c r="D10" s="73" t="str">
        <f>Matiere_premiere[[#This Row],[CODE FAB]]</f>
        <v>NM15-01.00</v>
      </c>
      <c r="E10" s="76" t="e" vm="3">
        <f>_xlfn.IMAGE("https://api.qrserver.com/v1/create-qr-code/?size=100x100&amp;data=" &amp; D10)</f>
        <v>#VALUE!</v>
      </c>
      <c r="F10" s="78"/>
      <c r="G10" s="73">
        <f>Matiere_premiere[[#This Row],[Num de Lot]]</f>
        <v>63577</v>
      </c>
      <c r="H10" s="76" t="e" vm="5">
        <f>_xlfn.IMAGE("https://api.qrserver.com/v1/create-qr-code/?size=100x100&amp;data=" &amp; G10)</f>
        <v>#VALUE!</v>
      </c>
      <c r="I10" s="80"/>
      <c r="J10" s="12" t="str">
        <f>Matiere_premiere[[#This Row],[Entrepot]]</f>
        <v>E1</v>
      </c>
      <c r="K10" s="9" t="b">
        <f>IF(Matiere_premiere[[#This Row],[INVENTAIRE]]&gt;0,TRUE,FALSE)</f>
        <v>0</v>
      </c>
      <c r="L10" s="65"/>
      <c r="M10" s="15" t="s">
        <v>103</v>
      </c>
      <c r="N10" s="15" t="s">
        <v>308</v>
      </c>
      <c r="O10" s="15" t="s">
        <v>307</v>
      </c>
      <c r="P10" s="15" t="s">
        <v>306</v>
      </c>
      <c r="Q10" s="56">
        <v>63577</v>
      </c>
      <c r="R10" s="8" t="s">
        <v>75</v>
      </c>
      <c r="S10" s="7">
        <v>0</v>
      </c>
      <c r="T10" s="7"/>
      <c r="U10" s="7"/>
      <c r="V10" s="7">
        <f>SUM(Matiere_premiere[[#This Row],[INVENTAIRE]],-Matiere_premiere[[#This Row],[Entrée]],-Matiere_premiere[[#This Row],[Sortis]])</f>
        <v>0</v>
      </c>
      <c r="W10" s="50" t="str">
        <f>CONCATENATE(Matiere_premiere[[#This Row],[CODE COLEUR]],"_",Matiere_premiere[[#This Row],[COULEUR]],"_",Matiere_premiere[[#This Row],[CODE FAB]],"_",Matiere_premiere[[#This Row],[Num de Lot]])</f>
        <v>C01_BLANC_NM15-01.00_63577</v>
      </c>
    </row>
    <row r="11" spans="1:23" ht="19.7" customHeight="1" thickBot="1" x14ac:dyDescent="0.3">
      <c r="A11" s="68"/>
      <c r="B11" s="71"/>
      <c r="C11" s="71"/>
      <c r="D11" s="74"/>
      <c r="E11" s="76"/>
      <c r="F11" s="78"/>
      <c r="G11" s="74"/>
      <c r="H11" s="76"/>
      <c r="I11" s="80"/>
      <c r="J11" s="11" t="str">
        <f>Matiere_premiere[[#This Row],[Entrepot]]</f>
        <v>E2</v>
      </c>
      <c r="K11" s="9" t="b">
        <f>IF(Matiere_premiere[[#This Row],[INVENTAIRE]]&gt;0,TRUE,FALSE)</f>
        <v>0</v>
      </c>
      <c r="L11" s="65"/>
      <c r="M11" s="15" t="s">
        <v>103</v>
      </c>
      <c r="N11" s="15" t="s">
        <v>308</v>
      </c>
      <c r="O11" s="15" t="s">
        <v>307</v>
      </c>
      <c r="P11" s="15" t="s">
        <v>306</v>
      </c>
      <c r="Q11" s="56">
        <v>63577</v>
      </c>
      <c r="R11" s="8" t="s">
        <v>74</v>
      </c>
      <c r="S11" s="7">
        <v>0</v>
      </c>
      <c r="T11" s="7"/>
      <c r="U11" s="7"/>
      <c r="V11" s="7">
        <f>SUM(Matiere_premiere[[#This Row],[INVENTAIRE]],-Matiere_premiere[[#This Row],[Entrée]],-Matiere_premiere[[#This Row],[Sortis]])</f>
        <v>0</v>
      </c>
      <c r="W11" s="50" t="str">
        <f>CONCATENATE(Matiere_premiere[[#This Row],[CODE COLEUR]],"_",Matiere_premiere[[#This Row],[COULEUR]],"_",Matiere_premiere[[#This Row],[CODE FAB]],"_",Matiere_premiere[[#This Row],[Num de Lot]])</f>
        <v>C01_BLANC_NM15-01.00_63577</v>
      </c>
    </row>
    <row r="12" spans="1:23" ht="19.7" customHeight="1" thickBot="1" x14ac:dyDescent="0.3">
      <c r="A12" s="68"/>
      <c r="B12" s="71"/>
      <c r="C12" s="71"/>
      <c r="D12" s="74"/>
      <c r="E12" s="76"/>
      <c r="F12" s="78"/>
      <c r="G12" s="74"/>
      <c r="H12" s="76"/>
      <c r="I12" s="80"/>
      <c r="J12" s="11" t="str">
        <f>Matiere_premiere[[#This Row],[Entrepot]]</f>
        <v>E3</v>
      </c>
      <c r="K12" s="9" t="b">
        <f>IF(Matiere_premiere[[#This Row],[INVENTAIRE]]&gt;0,TRUE,FALSE)</f>
        <v>0</v>
      </c>
      <c r="L12" s="65"/>
      <c r="M12" s="15" t="s">
        <v>103</v>
      </c>
      <c r="N12" s="15" t="s">
        <v>308</v>
      </c>
      <c r="O12" s="15" t="s">
        <v>307</v>
      </c>
      <c r="P12" s="15" t="s">
        <v>306</v>
      </c>
      <c r="Q12" s="56">
        <v>63577</v>
      </c>
      <c r="R12" s="8" t="s">
        <v>73</v>
      </c>
      <c r="S12" s="7">
        <v>0</v>
      </c>
      <c r="T12" s="7"/>
      <c r="U12" s="7"/>
      <c r="V12" s="7">
        <f>SUM(Matiere_premiere[[#This Row],[INVENTAIRE]],-Matiere_premiere[[#This Row],[Entrée]],-Matiere_premiere[[#This Row],[Sortis]])</f>
        <v>0</v>
      </c>
      <c r="W12" s="50" t="str">
        <f>CONCATENATE(Matiere_premiere[[#This Row],[CODE COLEUR]],"_",Matiere_premiere[[#This Row],[COULEUR]],"_",Matiere_premiere[[#This Row],[CODE FAB]],"_",Matiere_premiere[[#This Row],[Num de Lot]])</f>
        <v>C01_BLANC_NM15-01.00_63577</v>
      </c>
    </row>
    <row r="13" spans="1:23" ht="19.7" customHeight="1" thickBot="1" x14ac:dyDescent="0.3">
      <c r="A13" s="69"/>
      <c r="B13" s="72"/>
      <c r="C13" s="72"/>
      <c r="D13" s="75"/>
      <c r="E13" s="77"/>
      <c r="F13" s="79"/>
      <c r="G13" s="75"/>
      <c r="H13" s="77"/>
      <c r="I13" s="81"/>
      <c r="J13" s="10" t="str">
        <f>Matiere_premiere[[#This Row],[Entrepot]]</f>
        <v>Usine</v>
      </c>
      <c r="K13" s="9" t="b">
        <f>IF(Matiere_premiere[[#This Row],[INVENTAIRE]]&gt;0,TRUE,FALSE)</f>
        <v>0</v>
      </c>
      <c r="L13" s="66"/>
      <c r="M13" s="8" t="s">
        <v>103</v>
      </c>
      <c r="N13" s="8" t="s">
        <v>308</v>
      </c>
      <c r="O13" s="8" t="s">
        <v>307</v>
      </c>
      <c r="P13" s="8" t="s">
        <v>306</v>
      </c>
      <c r="Q13" s="53">
        <v>63577</v>
      </c>
      <c r="R13" s="8" t="s">
        <v>68</v>
      </c>
      <c r="S13" s="7">
        <v>0</v>
      </c>
      <c r="T13" s="7"/>
      <c r="U13" s="7"/>
      <c r="V13" s="7">
        <f>SUM(Matiere_premiere[[#This Row],[INVENTAIRE]],-Matiere_premiere[[#This Row],[Entrée]],-Matiere_premiere[[#This Row],[Sortis]])</f>
        <v>0</v>
      </c>
      <c r="W13" s="50" t="str">
        <f>CONCATENATE(Matiere_premiere[[#This Row],[CODE COLEUR]],"_",Matiere_premiere[[#This Row],[COULEUR]],"_",Matiere_premiere[[#This Row],[CODE FAB]],"_",Matiere_premiere[[#This Row],[Num de Lot]])</f>
        <v>C01_BLANC_NM15-01.00_63577</v>
      </c>
    </row>
    <row r="14" spans="1:23" ht="19.7" customHeight="1" thickTop="1" thickBot="1" x14ac:dyDescent="0.3">
      <c r="A14" s="67" t="str">
        <f>Matiere_premiere[[#This Row],[NUMERO METRIQUE]]</f>
        <v>NM05</v>
      </c>
      <c r="B14" s="70" t="str">
        <f>Matiere_premiere[[#This Row],[COULEUR]]</f>
        <v>ECRU</v>
      </c>
      <c r="C14" s="70" t="str">
        <f>Matiere_premiere[[#This Row],[CODE COLEUR]]</f>
        <v>C02</v>
      </c>
      <c r="D14" s="73" t="str">
        <f>Matiere_premiere[[#This Row],[CODE FAB]]</f>
        <v>NM05-02.00</v>
      </c>
      <c r="E14" s="76" t="e" vm="6">
        <f>_xlfn.IMAGE("https://api.qrserver.com/v1/create-qr-code/?size=100x100&amp;data=" &amp; D14)</f>
        <v>#VALUE!</v>
      </c>
      <c r="F14" s="78"/>
      <c r="G14" s="73">
        <f>Matiere_premiere[[#This Row],[Num de Lot]]</f>
        <v>58733</v>
      </c>
      <c r="H14" s="76" t="e" vm="7">
        <f>_xlfn.IMAGE("https://api.qrserver.com/v1/create-qr-code/?size=100x100&amp;data=" &amp; G14)</f>
        <v>#VALUE!</v>
      </c>
      <c r="I14" s="80"/>
      <c r="J14" s="12" t="str">
        <f>Matiere_premiere[[#This Row],[Entrepot]]</f>
        <v>E1</v>
      </c>
      <c r="K14" s="9" t="b">
        <f>IF(Matiere_premiere[[#This Row],[INVENTAIRE]]&gt;0,TRUE,FALSE)</f>
        <v>0</v>
      </c>
      <c r="L14" s="65"/>
      <c r="M14" s="13" t="s">
        <v>119</v>
      </c>
      <c r="N14" s="13" t="s">
        <v>299</v>
      </c>
      <c r="O14" s="13" t="s">
        <v>298</v>
      </c>
      <c r="P14" s="13" t="s">
        <v>305</v>
      </c>
      <c r="Q14" s="55">
        <v>58733</v>
      </c>
      <c r="R14" s="13" t="s">
        <v>75</v>
      </c>
      <c r="S14" s="14">
        <v>0</v>
      </c>
      <c r="T14" s="14"/>
      <c r="U14" s="14"/>
      <c r="V14" s="14">
        <f>SUM(Matiere_premiere[[#This Row],[INVENTAIRE]],-Matiere_premiere[[#This Row],[Entrée]],-Matiere_premiere[[#This Row],[Sortis]])</f>
        <v>0</v>
      </c>
      <c r="W14" s="50" t="str">
        <f>CONCATENATE(Matiere_premiere[[#This Row],[CODE COLEUR]],"_",Matiere_premiere[[#This Row],[COULEUR]],"_",Matiere_premiere[[#This Row],[CODE FAB]],"_",Matiere_premiere[[#This Row],[Num de Lot]])</f>
        <v>C02_ECRU_NM05-02.00_58733</v>
      </c>
    </row>
    <row r="15" spans="1:23" ht="19.7" customHeight="1" thickBot="1" x14ac:dyDescent="0.3">
      <c r="A15" s="68"/>
      <c r="B15" s="71"/>
      <c r="C15" s="71"/>
      <c r="D15" s="74"/>
      <c r="E15" s="76"/>
      <c r="F15" s="78"/>
      <c r="G15" s="74"/>
      <c r="H15" s="76"/>
      <c r="I15" s="80"/>
      <c r="J15" s="11" t="str">
        <f>Matiere_premiere[[#This Row],[Entrepot]]</f>
        <v>E2</v>
      </c>
      <c r="K15" s="9" t="b">
        <f>IF(Matiere_premiere[[#This Row],[INVENTAIRE]]&gt;0,TRUE,FALSE)</f>
        <v>1</v>
      </c>
      <c r="L15" s="65"/>
      <c r="M15" s="13" t="s">
        <v>119</v>
      </c>
      <c r="N15" s="13" t="s">
        <v>299</v>
      </c>
      <c r="O15" s="13" t="s">
        <v>298</v>
      </c>
      <c r="P15" s="13" t="s">
        <v>305</v>
      </c>
      <c r="Q15" s="55">
        <v>58733</v>
      </c>
      <c r="R15" s="13" t="s">
        <v>74</v>
      </c>
      <c r="S15" s="14">
        <v>1113</v>
      </c>
      <c r="T15" s="14"/>
      <c r="U15" s="14"/>
      <c r="V15" s="14">
        <f>SUM(Matiere_premiere[[#This Row],[INVENTAIRE]],-Matiere_premiere[[#This Row],[Entrée]],-Matiere_premiere[[#This Row],[Sortis]])</f>
        <v>1113</v>
      </c>
      <c r="W15" s="50" t="str">
        <f>CONCATENATE(Matiere_premiere[[#This Row],[CODE COLEUR]],"_",Matiere_premiere[[#This Row],[COULEUR]],"_",Matiere_premiere[[#This Row],[CODE FAB]],"_",Matiere_premiere[[#This Row],[Num de Lot]])</f>
        <v>C02_ECRU_NM05-02.00_58733</v>
      </c>
    </row>
    <row r="16" spans="1:23" ht="19.7" customHeight="1" thickBot="1" x14ac:dyDescent="0.3">
      <c r="A16" s="68"/>
      <c r="B16" s="71"/>
      <c r="C16" s="71"/>
      <c r="D16" s="74"/>
      <c r="E16" s="76"/>
      <c r="F16" s="78"/>
      <c r="G16" s="74"/>
      <c r="H16" s="76"/>
      <c r="I16" s="80"/>
      <c r="J16" s="11" t="str">
        <f>Matiere_premiere[[#This Row],[Entrepot]]</f>
        <v>E3</v>
      </c>
      <c r="K16" s="9" t="b">
        <f>IF(Matiere_premiere[[#This Row],[INVENTAIRE]]&gt;0,TRUE,FALSE)</f>
        <v>0</v>
      </c>
      <c r="L16" s="65"/>
      <c r="M16" s="13" t="s">
        <v>119</v>
      </c>
      <c r="N16" s="13" t="s">
        <v>299</v>
      </c>
      <c r="O16" s="13" t="s">
        <v>298</v>
      </c>
      <c r="P16" s="13" t="s">
        <v>305</v>
      </c>
      <c r="Q16" s="55">
        <v>58733</v>
      </c>
      <c r="R16" s="13" t="s">
        <v>73</v>
      </c>
      <c r="S16" s="14">
        <v>0</v>
      </c>
      <c r="T16" s="14"/>
      <c r="U16" s="14"/>
      <c r="V16" s="14">
        <f>SUM(Matiere_premiere[[#This Row],[INVENTAIRE]],-Matiere_premiere[[#This Row],[Entrée]],-Matiere_premiere[[#This Row],[Sortis]])</f>
        <v>0</v>
      </c>
      <c r="W16" s="50" t="str">
        <f>CONCATENATE(Matiere_premiere[[#This Row],[CODE COLEUR]],"_",Matiere_premiere[[#This Row],[COULEUR]],"_",Matiere_premiere[[#This Row],[CODE FAB]],"_",Matiere_premiere[[#This Row],[Num de Lot]])</f>
        <v>C02_ECRU_NM05-02.00_58733</v>
      </c>
    </row>
    <row r="17" spans="1:23" ht="19.7" customHeight="1" thickBot="1" x14ac:dyDescent="0.3">
      <c r="A17" s="69"/>
      <c r="B17" s="72"/>
      <c r="C17" s="72"/>
      <c r="D17" s="75"/>
      <c r="E17" s="77"/>
      <c r="F17" s="79"/>
      <c r="G17" s="75"/>
      <c r="H17" s="77"/>
      <c r="I17" s="81"/>
      <c r="J17" s="10" t="str">
        <f>Matiere_premiere[[#This Row],[Entrepot]]</f>
        <v>Usine</v>
      </c>
      <c r="K17" s="9" t="b">
        <f>IF(Matiere_premiere[[#This Row],[INVENTAIRE]]&gt;0,TRUE,FALSE)</f>
        <v>0</v>
      </c>
      <c r="L17" s="66"/>
      <c r="M17" s="13" t="s">
        <v>119</v>
      </c>
      <c r="N17" s="13" t="s">
        <v>299</v>
      </c>
      <c r="O17" s="13" t="s">
        <v>298</v>
      </c>
      <c r="P17" s="13" t="s">
        <v>305</v>
      </c>
      <c r="Q17" s="55">
        <v>58733</v>
      </c>
      <c r="R17" s="13" t="s">
        <v>68</v>
      </c>
      <c r="S17" s="14">
        <v>0</v>
      </c>
      <c r="T17" s="14"/>
      <c r="U17" s="14"/>
      <c r="V17" s="14">
        <f>SUM(Matiere_premiere[[#This Row],[INVENTAIRE]],-Matiere_premiere[[#This Row],[Entrée]],-Matiere_premiere[[#This Row],[Sortis]])</f>
        <v>0</v>
      </c>
      <c r="W17" s="50" t="str">
        <f>CONCATENATE(Matiere_premiere[[#This Row],[CODE COLEUR]],"_",Matiere_premiere[[#This Row],[COULEUR]],"_",Matiere_premiere[[#This Row],[CODE FAB]],"_",Matiere_premiere[[#This Row],[Num de Lot]])</f>
        <v>C02_ECRU_NM05-02.00_58733</v>
      </c>
    </row>
    <row r="18" spans="1:23" ht="19.7" customHeight="1" thickTop="1" thickBot="1" x14ac:dyDescent="0.3">
      <c r="A18" s="67" t="str">
        <f>Matiere_premiere[[#This Row],[NUMERO METRIQUE]]</f>
        <v>NM05</v>
      </c>
      <c r="B18" s="70" t="str">
        <f>Matiere_premiere[[#This Row],[COULEUR]]</f>
        <v>ECRU</v>
      </c>
      <c r="C18" s="70" t="str">
        <f>Matiere_premiere[[#This Row],[CODE COLEUR]]</f>
        <v>C02</v>
      </c>
      <c r="D18" s="73" t="str">
        <f>Matiere_premiere[[#This Row],[CODE FAB]]</f>
        <v>NM05-02.00</v>
      </c>
      <c r="E18" s="76" t="e" vm="6">
        <f>_xlfn.IMAGE("https://api.qrserver.com/v1/create-qr-code/?size=100x100&amp;data=" &amp; D18)</f>
        <v>#VALUE!</v>
      </c>
      <c r="F18" s="78"/>
      <c r="G18" s="73">
        <f>Matiere_premiere[[#This Row],[Num de Lot]]</f>
        <v>59839</v>
      </c>
      <c r="H18" s="76" t="e" vm="8">
        <f>_xlfn.IMAGE("https://api.qrserver.com/v1/create-qr-code/?size=100x100&amp;data=" &amp; G18)</f>
        <v>#VALUE!</v>
      </c>
      <c r="I18" s="80"/>
      <c r="J18" s="12" t="str">
        <f>Matiere_premiere[[#This Row],[Entrepot]]</f>
        <v>E1</v>
      </c>
      <c r="K18" s="9" t="b">
        <f>IF(Matiere_premiere[[#This Row],[INVENTAIRE]]&gt;0,TRUE,FALSE)</f>
        <v>0</v>
      </c>
      <c r="L18" s="65"/>
      <c r="M18" s="8" t="s">
        <v>119</v>
      </c>
      <c r="N18" s="8" t="s">
        <v>299</v>
      </c>
      <c r="O18" s="8" t="s">
        <v>298</v>
      </c>
      <c r="P18" s="8" t="s">
        <v>305</v>
      </c>
      <c r="Q18" s="53">
        <v>59839</v>
      </c>
      <c r="R18" s="8" t="s">
        <v>75</v>
      </c>
      <c r="S18" s="7">
        <v>0</v>
      </c>
      <c r="T18" s="7"/>
      <c r="U18" s="7"/>
      <c r="V18" s="7">
        <f>SUM(Matiere_premiere[[#This Row],[INVENTAIRE]],-Matiere_premiere[[#This Row],[Entrée]],-Matiere_premiere[[#This Row],[Sortis]])</f>
        <v>0</v>
      </c>
      <c r="W18" s="50" t="str">
        <f>CONCATENATE(Matiere_premiere[[#This Row],[CODE COLEUR]],"_",Matiere_premiere[[#This Row],[COULEUR]],"_",Matiere_premiere[[#This Row],[CODE FAB]],"_",Matiere_premiere[[#This Row],[Num de Lot]])</f>
        <v>C02_ECRU_NM05-02.00_59839</v>
      </c>
    </row>
    <row r="19" spans="1:23" ht="19.7" customHeight="1" thickBot="1" x14ac:dyDescent="0.3">
      <c r="A19" s="68"/>
      <c r="B19" s="71"/>
      <c r="C19" s="71"/>
      <c r="D19" s="74"/>
      <c r="E19" s="76"/>
      <c r="F19" s="78"/>
      <c r="G19" s="74"/>
      <c r="H19" s="76"/>
      <c r="I19" s="80"/>
      <c r="J19" s="11" t="str">
        <f>Matiere_premiere[[#This Row],[Entrepot]]</f>
        <v>E2</v>
      </c>
      <c r="K19" s="9" t="b">
        <f>IF(Matiere_premiere[[#This Row],[INVENTAIRE]]&gt;0,TRUE,FALSE)</f>
        <v>1</v>
      </c>
      <c r="L19" s="65"/>
      <c r="M19" s="8" t="s">
        <v>119</v>
      </c>
      <c r="N19" s="8" t="s">
        <v>299</v>
      </c>
      <c r="O19" s="8" t="s">
        <v>298</v>
      </c>
      <c r="P19" s="8" t="s">
        <v>305</v>
      </c>
      <c r="Q19" s="53">
        <v>59839</v>
      </c>
      <c r="R19" s="8" t="s">
        <v>74</v>
      </c>
      <c r="S19" s="7">
        <v>10.5</v>
      </c>
      <c r="T19" s="7"/>
      <c r="U19" s="7"/>
      <c r="V19" s="7">
        <f>SUM(Matiere_premiere[[#This Row],[INVENTAIRE]],-Matiere_premiere[[#This Row],[Entrée]],-Matiere_premiere[[#This Row],[Sortis]])</f>
        <v>10.5</v>
      </c>
      <c r="W19" s="50" t="str">
        <f>CONCATENATE(Matiere_premiere[[#This Row],[CODE COLEUR]],"_",Matiere_premiere[[#This Row],[COULEUR]],"_",Matiere_premiere[[#This Row],[CODE FAB]],"_",Matiere_premiere[[#This Row],[Num de Lot]])</f>
        <v>C02_ECRU_NM05-02.00_59839</v>
      </c>
    </row>
    <row r="20" spans="1:23" ht="19.7" customHeight="1" thickBot="1" x14ac:dyDescent="0.3">
      <c r="A20" s="68"/>
      <c r="B20" s="71"/>
      <c r="C20" s="71"/>
      <c r="D20" s="74"/>
      <c r="E20" s="76"/>
      <c r="F20" s="78"/>
      <c r="G20" s="74"/>
      <c r="H20" s="76"/>
      <c r="I20" s="80"/>
      <c r="J20" s="11" t="str">
        <f>Matiere_premiere[[#This Row],[Entrepot]]</f>
        <v>E3</v>
      </c>
      <c r="K20" s="9" t="b">
        <f>IF(Matiere_premiere[[#This Row],[INVENTAIRE]]&gt;0,TRUE,FALSE)</f>
        <v>0</v>
      </c>
      <c r="L20" s="65"/>
      <c r="M20" s="8" t="s">
        <v>119</v>
      </c>
      <c r="N20" s="8" t="s">
        <v>299</v>
      </c>
      <c r="O20" s="8" t="s">
        <v>298</v>
      </c>
      <c r="P20" s="8" t="s">
        <v>305</v>
      </c>
      <c r="Q20" s="53">
        <v>59839</v>
      </c>
      <c r="R20" s="8" t="s">
        <v>73</v>
      </c>
      <c r="S20" s="7">
        <v>0</v>
      </c>
      <c r="T20" s="7"/>
      <c r="U20" s="7"/>
      <c r="V20" s="7">
        <f>SUM(Matiere_premiere[[#This Row],[INVENTAIRE]],-Matiere_premiere[[#This Row],[Entrée]],-Matiere_premiere[[#This Row],[Sortis]])</f>
        <v>0</v>
      </c>
      <c r="W20" s="50" t="str">
        <f>CONCATENATE(Matiere_premiere[[#This Row],[CODE COLEUR]],"_",Matiere_premiere[[#This Row],[COULEUR]],"_",Matiere_premiere[[#This Row],[CODE FAB]],"_",Matiere_premiere[[#This Row],[Num de Lot]])</f>
        <v>C02_ECRU_NM05-02.00_59839</v>
      </c>
    </row>
    <row r="21" spans="1:23" ht="19.7" customHeight="1" thickBot="1" x14ac:dyDescent="0.3">
      <c r="A21" s="69"/>
      <c r="B21" s="72"/>
      <c r="C21" s="72"/>
      <c r="D21" s="75"/>
      <c r="E21" s="77"/>
      <c r="F21" s="79"/>
      <c r="G21" s="75"/>
      <c r="H21" s="77"/>
      <c r="I21" s="81"/>
      <c r="J21" s="10" t="str">
        <f>Matiere_premiere[[#This Row],[Entrepot]]</f>
        <v>Usine</v>
      </c>
      <c r="K21" s="9" t="b">
        <f>IF(Matiere_premiere[[#This Row],[INVENTAIRE]]&gt;0,TRUE,FALSE)</f>
        <v>0</v>
      </c>
      <c r="L21" s="66"/>
      <c r="M21" s="8" t="s">
        <v>119</v>
      </c>
      <c r="N21" s="8" t="s">
        <v>299</v>
      </c>
      <c r="O21" s="8" t="s">
        <v>298</v>
      </c>
      <c r="P21" s="8" t="s">
        <v>305</v>
      </c>
      <c r="Q21" s="53">
        <v>59839</v>
      </c>
      <c r="R21" s="8" t="s">
        <v>68</v>
      </c>
      <c r="S21" s="7">
        <v>0</v>
      </c>
      <c r="T21" s="7"/>
      <c r="U21" s="7"/>
      <c r="V21" s="7">
        <f>SUM(Matiere_premiere[[#This Row],[INVENTAIRE]],-Matiere_premiere[[#This Row],[Entrée]],-Matiere_premiere[[#This Row],[Sortis]])</f>
        <v>0</v>
      </c>
      <c r="W21" s="50" t="str">
        <f>CONCATENATE(Matiere_premiere[[#This Row],[CODE COLEUR]],"_",Matiere_premiere[[#This Row],[COULEUR]],"_",Matiere_premiere[[#This Row],[CODE FAB]],"_",Matiere_premiere[[#This Row],[Num de Lot]])</f>
        <v>C02_ECRU_NM05-02.00_59839</v>
      </c>
    </row>
    <row r="22" spans="1:23" ht="19.7" customHeight="1" thickTop="1" thickBot="1" x14ac:dyDescent="0.3">
      <c r="A22" s="67" t="str">
        <f>Matiere_premiere[[#This Row],[NUMERO METRIQUE]]</f>
        <v>NM05</v>
      </c>
      <c r="B22" s="70" t="str">
        <f>Matiere_premiere[[#This Row],[COULEUR]]</f>
        <v>ECRU</v>
      </c>
      <c r="C22" s="70" t="str">
        <f>Matiere_premiere[[#This Row],[CODE COLEUR]]</f>
        <v>C02</v>
      </c>
      <c r="D22" s="73" t="str">
        <f>Matiere_premiere[[#This Row],[CODE FAB]]</f>
        <v>NM05-02.00</v>
      </c>
      <c r="E22" s="76" t="e" vm="6">
        <f>_xlfn.IMAGE("https://api.qrserver.com/v1/create-qr-code/?size=100x100&amp;data=" &amp; D22)</f>
        <v>#VALUE!</v>
      </c>
      <c r="F22" s="78"/>
      <c r="G22" s="73">
        <f>Matiere_premiere[[#This Row],[Num de Lot]]</f>
        <v>60083</v>
      </c>
      <c r="H22" s="76" t="e" vm="9">
        <f>_xlfn.IMAGE("https://api.qrserver.com/v1/create-qr-code/?size=100x100&amp;data=" &amp; G22)</f>
        <v>#VALUE!</v>
      </c>
      <c r="I22" s="80"/>
      <c r="J22" s="12" t="str">
        <f>Matiere_premiere[[#This Row],[Entrepot]]</f>
        <v>E1</v>
      </c>
      <c r="K22" s="9" t="b">
        <f>IF(Matiere_premiere[[#This Row],[INVENTAIRE]]&gt;0,TRUE,FALSE)</f>
        <v>0</v>
      </c>
      <c r="L22" s="65"/>
      <c r="M22" s="13" t="s">
        <v>119</v>
      </c>
      <c r="N22" s="13" t="s">
        <v>299</v>
      </c>
      <c r="O22" s="13" t="s">
        <v>298</v>
      </c>
      <c r="P22" s="13" t="s">
        <v>305</v>
      </c>
      <c r="Q22" s="55">
        <v>60083</v>
      </c>
      <c r="R22" s="13" t="s">
        <v>75</v>
      </c>
      <c r="S22" s="14">
        <v>0</v>
      </c>
      <c r="T22" s="14"/>
      <c r="U22" s="14"/>
      <c r="V22" s="14">
        <f>SUM(Matiere_premiere[[#This Row],[INVENTAIRE]],-Matiere_premiere[[#This Row],[Entrée]],-Matiere_premiere[[#This Row],[Sortis]])</f>
        <v>0</v>
      </c>
      <c r="W22" s="50" t="str">
        <f>CONCATENATE(Matiere_premiere[[#This Row],[CODE COLEUR]],"_",Matiere_premiere[[#This Row],[COULEUR]],"_",Matiere_premiere[[#This Row],[CODE FAB]],"_",Matiere_premiere[[#This Row],[Num de Lot]])</f>
        <v>C02_ECRU_NM05-02.00_60083</v>
      </c>
    </row>
    <row r="23" spans="1:23" ht="19.7" customHeight="1" thickBot="1" x14ac:dyDescent="0.3">
      <c r="A23" s="68"/>
      <c r="B23" s="71"/>
      <c r="C23" s="71"/>
      <c r="D23" s="74"/>
      <c r="E23" s="76"/>
      <c r="F23" s="78"/>
      <c r="G23" s="74"/>
      <c r="H23" s="76"/>
      <c r="I23" s="80"/>
      <c r="J23" s="11" t="str">
        <f>Matiere_premiere[[#This Row],[Entrepot]]</f>
        <v>E2</v>
      </c>
      <c r="K23" s="9" t="b">
        <f>IF(Matiere_premiere[[#This Row],[INVENTAIRE]]&gt;0,TRUE,FALSE)</f>
        <v>1</v>
      </c>
      <c r="L23" s="65"/>
      <c r="M23" s="13" t="s">
        <v>119</v>
      </c>
      <c r="N23" s="13" t="s">
        <v>299</v>
      </c>
      <c r="O23" s="13" t="s">
        <v>298</v>
      </c>
      <c r="P23" s="13" t="s">
        <v>305</v>
      </c>
      <c r="Q23" s="55">
        <v>60083</v>
      </c>
      <c r="R23" s="13" t="s">
        <v>74</v>
      </c>
      <c r="S23" s="14">
        <v>1095.5</v>
      </c>
      <c r="T23" s="14"/>
      <c r="U23" s="14"/>
      <c r="V23" s="14">
        <f>SUM(Matiere_premiere[[#This Row],[INVENTAIRE]],-Matiere_premiere[[#This Row],[Entrée]],-Matiere_premiere[[#This Row],[Sortis]])</f>
        <v>1095.5</v>
      </c>
      <c r="W23" s="50" t="str">
        <f>CONCATENATE(Matiere_premiere[[#This Row],[CODE COLEUR]],"_",Matiere_premiere[[#This Row],[COULEUR]],"_",Matiere_premiere[[#This Row],[CODE FAB]],"_",Matiere_premiere[[#This Row],[Num de Lot]])</f>
        <v>C02_ECRU_NM05-02.00_60083</v>
      </c>
    </row>
    <row r="24" spans="1:23" ht="19.7" customHeight="1" thickBot="1" x14ac:dyDescent="0.3">
      <c r="A24" s="68"/>
      <c r="B24" s="71"/>
      <c r="C24" s="71"/>
      <c r="D24" s="74"/>
      <c r="E24" s="76"/>
      <c r="F24" s="78"/>
      <c r="G24" s="74"/>
      <c r="H24" s="76"/>
      <c r="I24" s="80"/>
      <c r="J24" s="11" t="str">
        <f>Matiere_premiere[[#This Row],[Entrepot]]</f>
        <v>E3</v>
      </c>
      <c r="K24" s="9" t="b">
        <f>IF(Matiere_premiere[[#This Row],[INVENTAIRE]]&gt;0,TRUE,FALSE)</f>
        <v>0</v>
      </c>
      <c r="L24" s="65"/>
      <c r="M24" s="13" t="s">
        <v>119</v>
      </c>
      <c r="N24" s="13" t="s">
        <v>299</v>
      </c>
      <c r="O24" s="13" t="s">
        <v>298</v>
      </c>
      <c r="P24" s="13" t="s">
        <v>305</v>
      </c>
      <c r="Q24" s="55">
        <v>60083</v>
      </c>
      <c r="R24" s="13" t="s">
        <v>73</v>
      </c>
      <c r="S24" s="14">
        <v>0</v>
      </c>
      <c r="T24" s="14"/>
      <c r="U24" s="14"/>
      <c r="V24" s="14">
        <f>SUM(Matiere_premiere[[#This Row],[INVENTAIRE]],-Matiere_premiere[[#This Row],[Entrée]],-Matiere_premiere[[#This Row],[Sortis]])</f>
        <v>0</v>
      </c>
      <c r="W24" s="50" t="str">
        <f>CONCATENATE(Matiere_premiere[[#This Row],[CODE COLEUR]],"_",Matiere_premiere[[#This Row],[COULEUR]],"_",Matiere_premiere[[#This Row],[CODE FAB]],"_",Matiere_premiere[[#This Row],[Num de Lot]])</f>
        <v>C02_ECRU_NM05-02.00_60083</v>
      </c>
    </row>
    <row r="25" spans="1:23" ht="19.7" customHeight="1" thickBot="1" x14ac:dyDescent="0.3">
      <c r="A25" s="69"/>
      <c r="B25" s="72"/>
      <c r="C25" s="72"/>
      <c r="D25" s="75"/>
      <c r="E25" s="77"/>
      <c r="F25" s="79"/>
      <c r="G25" s="75"/>
      <c r="H25" s="77"/>
      <c r="I25" s="81"/>
      <c r="J25" s="10" t="str">
        <f>Matiere_premiere[[#This Row],[Entrepot]]</f>
        <v>Usine</v>
      </c>
      <c r="K25" s="9" t="b">
        <f>IF(Matiere_premiere[[#This Row],[INVENTAIRE]]&gt;0,TRUE,FALSE)</f>
        <v>1</v>
      </c>
      <c r="L25" s="66"/>
      <c r="M25" s="13" t="s">
        <v>119</v>
      </c>
      <c r="N25" s="13" t="s">
        <v>299</v>
      </c>
      <c r="O25" s="13" t="s">
        <v>298</v>
      </c>
      <c r="P25" s="13" t="s">
        <v>305</v>
      </c>
      <c r="Q25" s="55">
        <v>60083</v>
      </c>
      <c r="R25" s="13" t="s">
        <v>68</v>
      </c>
      <c r="S25" s="14">
        <v>14</v>
      </c>
      <c r="T25" s="14"/>
      <c r="U25" s="14"/>
      <c r="V25" s="14">
        <f>SUM(Matiere_premiere[[#This Row],[INVENTAIRE]],-Matiere_premiere[[#This Row],[Entrée]],-Matiere_premiere[[#This Row],[Sortis]])</f>
        <v>14</v>
      </c>
      <c r="W25" s="50" t="str">
        <f>CONCATENATE(Matiere_premiere[[#This Row],[CODE COLEUR]],"_",Matiere_premiere[[#This Row],[COULEUR]],"_",Matiere_premiere[[#This Row],[CODE FAB]],"_",Matiere_premiere[[#This Row],[Num de Lot]])</f>
        <v>C02_ECRU_NM05-02.00_60083</v>
      </c>
    </row>
    <row r="26" spans="1:23" ht="19.7" customHeight="1" thickTop="1" thickBot="1" x14ac:dyDescent="0.3">
      <c r="A26" s="67" t="str">
        <f>Matiere_premiere[[#This Row],[NUMERO METRIQUE]]</f>
        <v>NM05</v>
      </c>
      <c r="B26" s="70" t="str">
        <f>Matiere_premiere[[#This Row],[COULEUR]]</f>
        <v>ECRU</v>
      </c>
      <c r="C26" s="70" t="str">
        <f>Matiere_premiere[[#This Row],[CODE COLEUR]]</f>
        <v>C02</v>
      </c>
      <c r="D26" s="73" t="str">
        <f>Matiere_premiere[[#This Row],[CODE FAB]]</f>
        <v>NM05-02.00</v>
      </c>
      <c r="E26" s="76" t="e" vm="6">
        <f>_xlfn.IMAGE("https://api.qrserver.com/v1/create-qr-code/?size=100x100&amp;data=" &amp; D26)</f>
        <v>#VALUE!</v>
      </c>
      <c r="F26" s="78"/>
      <c r="G26" s="73">
        <f>Matiere_premiere[[#This Row],[Num de Lot]]</f>
        <v>60473</v>
      </c>
      <c r="H26" s="76" t="e" vm="10">
        <f>_xlfn.IMAGE("https://api.qrserver.com/v1/create-qr-code/?size=100x100&amp;data=" &amp; G26)</f>
        <v>#VALUE!</v>
      </c>
      <c r="I26" s="80"/>
      <c r="J26" s="12" t="str">
        <f>Matiere_premiere[[#This Row],[Entrepot]]</f>
        <v>E1</v>
      </c>
      <c r="K26" s="9" t="b">
        <f>IF(Matiere_premiere[[#This Row],[INVENTAIRE]]&gt;0,TRUE,FALSE)</f>
        <v>0</v>
      </c>
      <c r="L26" s="65"/>
      <c r="M26" s="8" t="s">
        <v>119</v>
      </c>
      <c r="N26" s="8" t="s">
        <v>299</v>
      </c>
      <c r="O26" s="8" t="s">
        <v>298</v>
      </c>
      <c r="P26" s="8" t="s">
        <v>305</v>
      </c>
      <c r="Q26" s="53">
        <v>60473</v>
      </c>
      <c r="R26" s="8" t="s">
        <v>75</v>
      </c>
      <c r="S26" s="7">
        <v>0</v>
      </c>
      <c r="T26" s="7"/>
      <c r="U26" s="7"/>
      <c r="V26" s="7">
        <f>SUM(Matiere_premiere[[#This Row],[INVENTAIRE]],-Matiere_premiere[[#This Row],[Entrée]],-Matiere_premiere[[#This Row],[Sortis]])</f>
        <v>0</v>
      </c>
      <c r="W26" s="50" t="str">
        <f>CONCATENATE(Matiere_premiere[[#This Row],[CODE COLEUR]],"_",Matiere_premiere[[#This Row],[COULEUR]],"_",Matiere_premiere[[#This Row],[CODE FAB]],"_",Matiere_premiere[[#This Row],[Num de Lot]])</f>
        <v>C02_ECRU_NM05-02.00_60473</v>
      </c>
    </row>
    <row r="27" spans="1:23" ht="19.7" customHeight="1" thickBot="1" x14ac:dyDescent="0.3">
      <c r="A27" s="68"/>
      <c r="B27" s="71"/>
      <c r="C27" s="71"/>
      <c r="D27" s="74"/>
      <c r="E27" s="76"/>
      <c r="F27" s="78"/>
      <c r="G27" s="74"/>
      <c r="H27" s="76"/>
      <c r="I27" s="80"/>
      <c r="J27" s="11" t="str">
        <f>Matiere_premiere[[#This Row],[Entrepot]]</f>
        <v>E2</v>
      </c>
      <c r="K27" s="9" t="b">
        <f>IF(Matiere_premiere[[#This Row],[INVENTAIRE]]&gt;0,TRUE,FALSE)</f>
        <v>1</v>
      </c>
      <c r="L27" s="65"/>
      <c r="M27" s="8" t="s">
        <v>119</v>
      </c>
      <c r="N27" s="8" t="s">
        <v>299</v>
      </c>
      <c r="O27" s="8" t="s">
        <v>298</v>
      </c>
      <c r="P27" s="8" t="s">
        <v>305</v>
      </c>
      <c r="Q27" s="53">
        <v>60473</v>
      </c>
      <c r="R27" s="8" t="s">
        <v>74</v>
      </c>
      <c r="S27" s="7">
        <v>1190</v>
      </c>
      <c r="T27" s="7"/>
      <c r="U27" s="7"/>
      <c r="V27" s="7">
        <f>SUM(Matiere_premiere[[#This Row],[INVENTAIRE]],-Matiere_premiere[[#This Row],[Entrée]],-Matiere_premiere[[#This Row],[Sortis]])</f>
        <v>1190</v>
      </c>
      <c r="W27" s="50" t="str">
        <f>CONCATENATE(Matiere_premiere[[#This Row],[CODE COLEUR]],"_",Matiere_premiere[[#This Row],[COULEUR]],"_",Matiere_premiere[[#This Row],[CODE FAB]],"_",Matiere_premiere[[#This Row],[Num de Lot]])</f>
        <v>C02_ECRU_NM05-02.00_60473</v>
      </c>
    </row>
    <row r="28" spans="1:23" ht="19.7" customHeight="1" thickBot="1" x14ac:dyDescent="0.3">
      <c r="A28" s="68"/>
      <c r="B28" s="71"/>
      <c r="C28" s="71"/>
      <c r="D28" s="74"/>
      <c r="E28" s="76"/>
      <c r="F28" s="78"/>
      <c r="G28" s="74"/>
      <c r="H28" s="76"/>
      <c r="I28" s="80"/>
      <c r="J28" s="11" t="str">
        <f>Matiere_premiere[[#This Row],[Entrepot]]</f>
        <v>E3</v>
      </c>
      <c r="K28" s="9" t="b">
        <f>IF(Matiere_premiere[[#This Row],[INVENTAIRE]]&gt;0,TRUE,FALSE)</f>
        <v>1</v>
      </c>
      <c r="L28" s="65"/>
      <c r="M28" s="8" t="s">
        <v>119</v>
      </c>
      <c r="N28" s="8" t="s">
        <v>299</v>
      </c>
      <c r="O28" s="8" t="s">
        <v>298</v>
      </c>
      <c r="P28" s="8" t="s">
        <v>305</v>
      </c>
      <c r="Q28" s="53">
        <v>60473</v>
      </c>
      <c r="R28" s="8" t="s">
        <v>73</v>
      </c>
      <c r="S28" s="7">
        <v>2268</v>
      </c>
      <c r="T28" s="7"/>
      <c r="U28" s="7"/>
      <c r="V28" s="7">
        <f>SUM(Matiere_premiere[[#This Row],[INVENTAIRE]],-Matiere_premiere[[#This Row],[Entrée]],-Matiere_premiere[[#This Row],[Sortis]])</f>
        <v>2268</v>
      </c>
      <c r="W28" s="50" t="str">
        <f>CONCATENATE(Matiere_premiere[[#This Row],[CODE COLEUR]],"_",Matiere_premiere[[#This Row],[COULEUR]],"_",Matiere_premiere[[#This Row],[CODE FAB]],"_",Matiere_premiere[[#This Row],[Num de Lot]])</f>
        <v>C02_ECRU_NM05-02.00_60473</v>
      </c>
    </row>
    <row r="29" spans="1:23" ht="19.7" customHeight="1" thickBot="1" x14ac:dyDescent="0.3">
      <c r="A29" s="69"/>
      <c r="B29" s="72"/>
      <c r="C29" s="72"/>
      <c r="D29" s="75"/>
      <c r="E29" s="77"/>
      <c r="F29" s="79"/>
      <c r="G29" s="75"/>
      <c r="H29" s="77"/>
      <c r="I29" s="81"/>
      <c r="J29" s="10" t="str">
        <f>Matiere_premiere[[#This Row],[Entrepot]]</f>
        <v>Usine</v>
      </c>
      <c r="K29" s="9" t="b">
        <f>IF(Matiere_premiere[[#This Row],[INVENTAIRE]]&gt;0,TRUE,FALSE)</f>
        <v>0</v>
      </c>
      <c r="L29" s="66"/>
      <c r="M29" s="8" t="s">
        <v>119</v>
      </c>
      <c r="N29" s="8" t="s">
        <v>299</v>
      </c>
      <c r="O29" s="8" t="s">
        <v>298</v>
      </c>
      <c r="P29" s="8" t="s">
        <v>305</v>
      </c>
      <c r="Q29" s="53">
        <v>60473</v>
      </c>
      <c r="R29" s="8" t="s">
        <v>68</v>
      </c>
      <c r="S29" s="7">
        <v>0</v>
      </c>
      <c r="T29" s="7"/>
      <c r="U29" s="7"/>
      <c r="V29" s="7">
        <f>SUM(Matiere_premiere[[#This Row],[INVENTAIRE]],-Matiere_premiere[[#This Row],[Entrée]],-Matiere_premiere[[#This Row],[Sortis]])</f>
        <v>0</v>
      </c>
      <c r="W29" s="50" t="str">
        <f>CONCATENATE(Matiere_premiere[[#This Row],[CODE COLEUR]],"_",Matiere_premiere[[#This Row],[COULEUR]],"_",Matiere_premiere[[#This Row],[CODE FAB]],"_",Matiere_premiere[[#This Row],[Num de Lot]])</f>
        <v>C02_ECRU_NM05-02.00_60473</v>
      </c>
    </row>
    <row r="30" spans="1:23" ht="19.7" customHeight="1" thickTop="1" thickBot="1" x14ac:dyDescent="0.3">
      <c r="A30" s="67" t="str">
        <f>Matiere_premiere[[#This Row],[NUMERO METRIQUE]]</f>
        <v>NM05</v>
      </c>
      <c r="B30" s="70" t="str">
        <f>Matiere_premiere[[#This Row],[COULEUR]]</f>
        <v>ECRU</v>
      </c>
      <c r="C30" s="70" t="str">
        <f>Matiere_premiere[[#This Row],[CODE COLEUR]]</f>
        <v>C02</v>
      </c>
      <c r="D30" s="73" t="str">
        <f>Matiere_premiere[[#This Row],[CODE FAB]]</f>
        <v>NM05-02.00</v>
      </c>
      <c r="E30" s="76" t="e" vm="6">
        <f>_xlfn.IMAGE("https://api.qrserver.com/v1/create-qr-code/?size=100x100&amp;data=" &amp; D30)</f>
        <v>#VALUE!</v>
      </c>
      <c r="F30" s="78"/>
      <c r="G30" s="73">
        <f>Matiere_premiere[[#This Row],[Num de Lot]]</f>
        <v>60530</v>
      </c>
      <c r="H30" s="76" t="e" vm="11">
        <f>_xlfn.IMAGE("https://api.qrserver.com/v1/create-qr-code/?size=100x100&amp;data=" &amp; G30)</f>
        <v>#VALUE!</v>
      </c>
      <c r="I30" s="80"/>
      <c r="J30" s="12" t="str">
        <f>Matiere_premiere[[#This Row],[Entrepot]]</f>
        <v>E1</v>
      </c>
      <c r="K30" s="9" t="b">
        <f>IF(Matiere_premiere[[#This Row],[INVENTAIRE]]&gt;0,TRUE,FALSE)</f>
        <v>0</v>
      </c>
      <c r="L30" s="65"/>
      <c r="M30" s="13" t="s">
        <v>119</v>
      </c>
      <c r="N30" s="13" t="s">
        <v>299</v>
      </c>
      <c r="O30" s="13" t="s">
        <v>298</v>
      </c>
      <c r="P30" s="13" t="s">
        <v>305</v>
      </c>
      <c r="Q30" s="55">
        <v>60530</v>
      </c>
      <c r="R30" s="13" t="s">
        <v>75</v>
      </c>
      <c r="S30" s="14">
        <v>0</v>
      </c>
      <c r="T30" s="14"/>
      <c r="U30" s="14"/>
      <c r="V30" s="14">
        <f>SUM(Matiere_premiere[[#This Row],[INVENTAIRE]],-Matiere_premiere[[#This Row],[Entrée]],-Matiere_premiere[[#This Row],[Sortis]])</f>
        <v>0</v>
      </c>
      <c r="W30" s="50" t="str">
        <f>CONCATENATE(Matiere_premiere[[#This Row],[CODE COLEUR]],"_",Matiere_premiere[[#This Row],[COULEUR]],"_",Matiere_premiere[[#This Row],[CODE FAB]],"_",Matiere_premiere[[#This Row],[Num de Lot]])</f>
        <v>C02_ECRU_NM05-02.00_60530</v>
      </c>
    </row>
    <row r="31" spans="1:23" ht="19.7" customHeight="1" thickBot="1" x14ac:dyDescent="0.3">
      <c r="A31" s="68"/>
      <c r="B31" s="71"/>
      <c r="C31" s="71"/>
      <c r="D31" s="74"/>
      <c r="E31" s="76"/>
      <c r="F31" s="78"/>
      <c r="G31" s="74"/>
      <c r="H31" s="76"/>
      <c r="I31" s="80"/>
      <c r="J31" s="11" t="str">
        <f>Matiere_premiere[[#This Row],[Entrepot]]</f>
        <v>E2</v>
      </c>
      <c r="K31" s="9" t="b">
        <f>IF(Matiere_premiere[[#This Row],[INVENTAIRE]]&gt;0,TRUE,FALSE)</f>
        <v>0</v>
      </c>
      <c r="L31" s="65"/>
      <c r="M31" s="13" t="s">
        <v>119</v>
      </c>
      <c r="N31" s="13" t="s">
        <v>299</v>
      </c>
      <c r="O31" s="13" t="s">
        <v>298</v>
      </c>
      <c r="P31" s="13" t="s">
        <v>305</v>
      </c>
      <c r="Q31" s="55">
        <v>60530</v>
      </c>
      <c r="R31" s="13" t="s">
        <v>74</v>
      </c>
      <c r="S31" s="14">
        <v>0</v>
      </c>
      <c r="T31" s="14"/>
      <c r="U31" s="14"/>
      <c r="V31" s="14">
        <f>SUM(Matiere_premiere[[#This Row],[INVENTAIRE]],-Matiere_premiere[[#This Row],[Entrée]],-Matiere_premiere[[#This Row],[Sortis]])</f>
        <v>0</v>
      </c>
      <c r="W31" s="50" t="str">
        <f>CONCATENATE(Matiere_premiere[[#This Row],[CODE COLEUR]],"_",Matiere_premiere[[#This Row],[COULEUR]],"_",Matiere_premiere[[#This Row],[CODE FAB]],"_",Matiere_premiere[[#This Row],[Num de Lot]])</f>
        <v>C02_ECRU_NM05-02.00_60530</v>
      </c>
    </row>
    <row r="32" spans="1:23" ht="19.7" customHeight="1" thickBot="1" x14ac:dyDescent="0.3">
      <c r="A32" s="68"/>
      <c r="B32" s="71"/>
      <c r="C32" s="71"/>
      <c r="D32" s="74"/>
      <c r="E32" s="76"/>
      <c r="F32" s="78"/>
      <c r="G32" s="74"/>
      <c r="H32" s="76"/>
      <c r="I32" s="80"/>
      <c r="J32" s="11" t="str">
        <f>Matiere_premiere[[#This Row],[Entrepot]]</f>
        <v>E3</v>
      </c>
      <c r="K32" s="9" t="b">
        <f>IF(Matiere_premiere[[#This Row],[INVENTAIRE]]&gt;0,TRUE,FALSE)</f>
        <v>0</v>
      </c>
      <c r="L32" s="65"/>
      <c r="M32" s="13" t="s">
        <v>119</v>
      </c>
      <c r="N32" s="13" t="s">
        <v>299</v>
      </c>
      <c r="O32" s="13" t="s">
        <v>298</v>
      </c>
      <c r="P32" s="13" t="s">
        <v>305</v>
      </c>
      <c r="Q32" s="55">
        <v>60530</v>
      </c>
      <c r="R32" s="13" t="s">
        <v>73</v>
      </c>
      <c r="S32" s="14">
        <v>0</v>
      </c>
      <c r="T32" s="14"/>
      <c r="U32" s="14"/>
      <c r="V32" s="14">
        <f>SUM(Matiere_premiere[[#This Row],[INVENTAIRE]],-Matiere_premiere[[#This Row],[Entrée]],-Matiere_premiere[[#This Row],[Sortis]])</f>
        <v>0</v>
      </c>
      <c r="W32" s="50" t="str">
        <f>CONCATENATE(Matiere_premiere[[#This Row],[CODE COLEUR]],"_",Matiere_premiere[[#This Row],[COULEUR]],"_",Matiere_premiere[[#This Row],[CODE FAB]],"_",Matiere_premiere[[#This Row],[Num de Lot]])</f>
        <v>C02_ECRU_NM05-02.00_60530</v>
      </c>
    </row>
    <row r="33" spans="1:23" ht="19.7" customHeight="1" thickBot="1" x14ac:dyDescent="0.3">
      <c r="A33" s="69"/>
      <c r="B33" s="72"/>
      <c r="C33" s="72"/>
      <c r="D33" s="75"/>
      <c r="E33" s="77"/>
      <c r="F33" s="79"/>
      <c r="G33" s="75"/>
      <c r="H33" s="77"/>
      <c r="I33" s="81"/>
      <c r="J33" s="10" t="str">
        <f>Matiere_premiere[[#This Row],[Entrepot]]</f>
        <v>Usine</v>
      </c>
      <c r="K33" s="9" t="b">
        <f>IF(Matiere_premiere[[#This Row],[INVENTAIRE]]&gt;0,TRUE,FALSE)</f>
        <v>0</v>
      </c>
      <c r="L33" s="66"/>
      <c r="M33" s="13" t="s">
        <v>119</v>
      </c>
      <c r="N33" s="13" t="s">
        <v>299</v>
      </c>
      <c r="O33" s="13" t="s">
        <v>298</v>
      </c>
      <c r="P33" s="13" t="s">
        <v>305</v>
      </c>
      <c r="Q33" s="55">
        <v>60530</v>
      </c>
      <c r="R33" s="13" t="s">
        <v>68</v>
      </c>
      <c r="S33" s="14">
        <v>0</v>
      </c>
      <c r="T33" s="14"/>
      <c r="U33" s="14"/>
      <c r="V33" s="14">
        <f>SUM(Matiere_premiere[[#This Row],[INVENTAIRE]],-Matiere_premiere[[#This Row],[Entrée]],-Matiere_premiere[[#This Row],[Sortis]])</f>
        <v>0</v>
      </c>
      <c r="W33" s="50" t="str">
        <f>CONCATENATE(Matiere_premiere[[#This Row],[CODE COLEUR]],"_",Matiere_premiere[[#This Row],[COULEUR]],"_",Matiere_premiere[[#This Row],[CODE FAB]],"_",Matiere_premiere[[#This Row],[Num de Lot]])</f>
        <v>C02_ECRU_NM05-02.00_60530</v>
      </c>
    </row>
    <row r="34" spans="1:23" ht="19.7" customHeight="1" thickTop="1" thickBot="1" x14ac:dyDescent="0.3">
      <c r="A34" s="67" t="str">
        <f>Matiere_premiere[[#This Row],[NUMERO METRIQUE]]</f>
        <v>NM05</v>
      </c>
      <c r="B34" s="70" t="str">
        <f>Matiere_premiere[[#This Row],[COULEUR]]</f>
        <v>ECRU</v>
      </c>
      <c r="C34" s="70" t="str">
        <f>Matiere_premiere[[#This Row],[CODE COLEUR]]</f>
        <v>C02</v>
      </c>
      <c r="D34" s="73" t="str">
        <f>Matiere_premiere[[#This Row],[CODE FAB]]</f>
        <v>NM05-02.01</v>
      </c>
      <c r="E34" s="76" t="e" vm="12">
        <f>_xlfn.IMAGE("https://api.qrserver.com/v1/create-qr-code/?size=100x100&amp;data=" &amp; D34)</f>
        <v>#VALUE!</v>
      </c>
      <c r="F34" s="78"/>
      <c r="G34" s="73" t="str">
        <f>Matiere_premiere[[#This Row],[Num de Lot]]</f>
        <v>S2023</v>
      </c>
      <c r="H34" s="76" t="e" vm="2">
        <f>_xlfn.IMAGE("https://api.qrserver.com/v1/create-qr-code/?size=100x100&amp;data=" &amp; G34)</f>
        <v>#VALUE!</v>
      </c>
      <c r="I34" s="80"/>
      <c r="J34" s="12" t="str">
        <f>Matiere_premiere[[#This Row],[Entrepot]]</f>
        <v>E1</v>
      </c>
      <c r="K34" s="9" t="b">
        <f>IF(Matiere_premiere[[#This Row],[INVENTAIRE]]&gt;0,TRUE,FALSE)</f>
        <v>0</v>
      </c>
      <c r="L34" s="65"/>
      <c r="M34" s="8" t="s">
        <v>119</v>
      </c>
      <c r="N34" s="8" t="s">
        <v>299</v>
      </c>
      <c r="O34" s="8" t="s">
        <v>298</v>
      </c>
      <c r="P34" s="8" t="s">
        <v>304</v>
      </c>
      <c r="Q34" s="53" t="s">
        <v>69</v>
      </c>
      <c r="R34" s="8" t="s">
        <v>75</v>
      </c>
      <c r="S34" s="7">
        <v>0</v>
      </c>
      <c r="T34" s="7"/>
      <c r="U34" s="7"/>
      <c r="V34" s="7">
        <f>SUM(Matiere_premiere[[#This Row],[INVENTAIRE]],-Matiere_premiere[[#This Row],[Entrée]],-Matiere_premiere[[#This Row],[Sortis]])</f>
        <v>0</v>
      </c>
      <c r="W34" s="50" t="str">
        <f>CONCATENATE(Matiere_premiere[[#This Row],[CODE COLEUR]],"_",Matiere_premiere[[#This Row],[COULEUR]],"_",Matiere_premiere[[#This Row],[CODE FAB]],"_",Matiere_premiere[[#This Row],[Num de Lot]])</f>
        <v>C02_ECRU_NM05-02.01_S2023</v>
      </c>
    </row>
    <row r="35" spans="1:23" ht="19.7" customHeight="1" thickBot="1" x14ac:dyDescent="0.3">
      <c r="A35" s="68"/>
      <c r="B35" s="71"/>
      <c r="C35" s="71"/>
      <c r="D35" s="74"/>
      <c r="E35" s="76"/>
      <c r="F35" s="78"/>
      <c r="G35" s="74"/>
      <c r="H35" s="76"/>
      <c r="I35" s="80"/>
      <c r="J35" s="11" t="str">
        <f>Matiere_premiere[[#This Row],[Entrepot]]</f>
        <v>E2</v>
      </c>
      <c r="K35" s="9" t="b">
        <f>IF(Matiere_premiere[[#This Row],[INVENTAIRE]]&gt;0,TRUE,FALSE)</f>
        <v>0</v>
      </c>
      <c r="L35" s="65"/>
      <c r="M35" s="8" t="s">
        <v>119</v>
      </c>
      <c r="N35" s="8" t="s">
        <v>299</v>
      </c>
      <c r="O35" s="8" t="s">
        <v>298</v>
      </c>
      <c r="P35" s="8" t="s">
        <v>304</v>
      </c>
      <c r="Q35" s="53" t="s">
        <v>69</v>
      </c>
      <c r="R35" s="8" t="s">
        <v>74</v>
      </c>
      <c r="S35" s="7">
        <v>0</v>
      </c>
      <c r="T35" s="7"/>
      <c r="U35" s="7"/>
      <c r="V35" s="7">
        <f>SUM(Matiere_premiere[[#This Row],[INVENTAIRE]],-Matiere_premiere[[#This Row],[Entrée]],-Matiere_premiere[[#This Row],[Sortis]])</f>
        <v>0</v>
      </c>
      <c r="W35" s="50" t="str">
        <f>CONCATENATE(Matiere_premiere[[#This Row],[CODE COLEUR]],"_",Matiere_premiere[[#This Row],[COULEUR]],"_",Matiere_premiere[[#This Row],[CODE FAB]],"_",Matiere_premiere[[#This Row],[Num de Lot]])</f>
        <v>C02_ECRU_NM05-02.01_S2023</v>
      </c>
    </row>
    <row r="36" spans="1:23" ht="19.7" customHeight="1" thickBot="1" x14ac:dyDescent="0.3">
      <c r="A36" s="68"/>
      <c r="B36" s="71"/>
      <c r="C36" s="71"/>
      <c r="D36" s="74"/>
      <c r="E36" s="76"/>
      <c r="F36" s="78"/>
      <c r="G36" s="74"/>
      <c r="H36" s="76"/>
      <c r="I36" s="80"/>
      <c r="J36" s="11" t="str">
        <f>Matiere_premiere[[#This Row],[Entrepot]]</f>
        <v>E3</v>
      </c>
      <c r="K36" s="9" t="b">
        <f>IF(Matiere_premiere[[#This Row],[INVENTAIRE]]&gt;0,TRUE,FALSE)</f>
        <v>0</v>
      </c>
      <c r="L36" s="65"/>
      <c r="M36" s="8" t="s">
        <v>119</v>
      </c>
      <c r="N36" s="8" t="s">
        <v>299</v>
      </c>
      <c r="O36" s="8" t="s">
        <v>298</v>
      </c>
      <c r="P36" s="8" t="s">
        <v>304</v>
      </c>
      <c r="Q36" s="53" t="s">
        <v>69</v>
      </c>
      <c r="R36" s="8" t="s">
        <v>73</v>
      </c>
      <c r="S36" s="7">
        <v>0</v>
      </c>
      <c r="T36" s="7"/>
      <c r="U36" s="7"/>
      <c r="V36" s="7">
        <f>SUM(Matiere_premiere[[#This Row],[INVENTAIRE]],-Matiere_premiere[[#This Row],[Entrée]],-Matiere_premiere[[#This Row],[Sortis]])</f>
        <v>0</v>
      </c>
      <c r="W36" s="50" t="str">
        <f>CONCATENATE(Matiere_premiere[[#This Row],[CODE COLEUR]],"_",Matiere_premiere[[#This Row],[COULEUR]],"_",Matiere_premiere[[#This Row],[CODE FAB]],"_",Matiere_premiere[[#This Row],[Num de Lot]])</f>
        <v>C02_ECRU_NM05-02.01_S2023</v>
      </c>
    </row>
    <row r="37" spans="1:23" ht="19.7" customHeight="1" thickBot="1" x14ac:dyDescent="0.3">
      <c r="A37" s="69"/>
      <c r="B37" s="72"/>
      <c r="C37" s="72"/>
      <c r="D37" s="75"/>
      <c r="E37" s="77"/>
      <c r="F37" s="79"/>
      <c r="G37" s="75"/>
      <c r="H37" s="77"/>
      <c r="I37" s="81"/>
      <c r="J37" s="10" t="str">
        <f>Matiere_premiere[[#This Row],[Entrepot]]</f>
        <v>Usine</v>
      </c>
      <c r="K37" s="9" t="b">
        <f>IF(Matiere_premiere[[#This Row],[INVENTAIRE]]&gt;0,TRUE,FALSE)</f>
        <v>0</v>
      </c>
      <c r="L37" s="66"/>
      <c r="M37" s="8" t="s">
        <v>119</v>
      </c>
      <c r="N37" s="8" t="s">
        <v>299</v>
      </c>
      <c r="O37" s="8" t="s">
        <v>298</v>
      </c>
      <c r="P37" s="8" t="s">
        <v>304</v>
      </c>
      <c r="Q37" s="53" t="s">
        <v>69</v>
      </c>
      <c r="R37" s="8" t="s">
        <v>68</v>
      </c>
      <c r="S37" s="7">
        <v>0</v>
      </c>
      <c r="T37" s="7"/>
      <c r="U37" s="7"/>
      <c r="V37" s="7">
        <f>SUM(Matiere_premiere[[#This Row],[INVENTAIRE]],-Matiere_premiere[[#This Row],[Entrée]],-Matiere_premiere[[#This Row],[Sortis]])</f>
        <v>0</v>
      </c>
      <c r="W37" s="50" t="str">
        <f>CONCATENATE(Matiere_premiere[[#This Row],[CODE COLEUR]],"_",Matiere_premiere[[#This Row],[COULEUR]],"_",Matiere_premiere[[#This Row],[CODE FAB]],"_",Matiere_premiere[[#This Row],[Num de Lot]])</f>
        <v>C02_ECRU_NM05-02.01_S2023</v>
      </c>
    </row>
    <row r="38" spans="1:23" ht="19.7" customHeight="1" thickTop="1" thickBot="1" x14ac:dyDescent="0.3">
      <c r="A38" s="67" t="str">
        <f>Matiere_premiere[[#This Row],[NUMERO METRIQUE]]</f>
        <v>NM10</v>
      </c>
      <c r="B38" s="70" t="str">
        <f>Matiere_premiere[[#This Row],[COULEUR]]</f>
        <v>ECRU</v>
      </c>
      <c r="C38" s="70" t="str">
        <f>Matiere_premiere[[#This Row],[CODE COLEUR]]</f>
        <v>C02</v>
      </c>
      <c r="D38" s="73" t="str">
        <f>Matiere_premiere[[#This Row],[CODE FAB]]</f>
        <v>NM10-02.00</v>
      </c>
      <c r="E38" s="76" t="e" vm="13">
        <f>_xlfn.IMAGE("https://api.qrserver.com/v1/create-qr-code/?size=100x100&amp;data=" &amp; D38)</f>
        <v>#VALUE!</v>
      </c>
      <c r="F38" s="78"/>
      <c r="G38" s="73" t="str">
        <f>Matiere_premiere[[#This Row],[Num de Lot]]</f>
        <v>S2023</v>
      </c>
      <c r="H38" s="76" t="e" vm="2">
        <f>_xlfn.IMAGE("https://api.qrserver.com/v1/create-qr-code/?size=100x100&amp;data=" &amp; G38)</f>
        <v>#VALUE!</v>
      </c>
      <c r="I38" s="80"/>
      <c r="J38" s="12" t="str">
        <f>Matiere_premiere[[#This Row],[Entrepot]]</f>
        <v>E1</v>
      </c>
      <c r="K38" s="9" t="b">
        <f>IF(Matiere_premiere[[#This Row],[INVENTAIRE]]&gt;0,TRUE,FALSE)</f>
        <v>0</v>
      </c>
      <c r="L38" s="65"/>
      <c r="M38" s="13" t="s">
        <v>116</v>
      </c>
      <c r="N38" s="13" t="s">
        <v>299</v>
      </c>
      <c r="O38" s="13" t="s">
        <v>298</v>
      </c>
      <c r="P38" s="13" t="s">
        <v>303</v>
      </c>
      <c r="Q38" s="55" t="s">
        <v>69</v>
      </c>
      <c r="R38" s="13" t="s">
        <v>75</v>
      </c>
      <c r="S38" s="14">
        <v>0</v>
      </c>
      <c r="T38" s="14"/>
      <c r="U38" s="14"/>
      <c r="V38" s="14">
        <f>SUM(Matiere_premiere[[#This Row],[INVENTAIRE]],-Matiere_premiere[[#This Row],[Entrée]],-Matiere_premiere[[#This Row],[Sortis]])</f>
        <v>0</v>
      </c>
      <c r="W38" s="50" t="str">
        <f>CONCATENATE(Matiere_premiere[[#This Row],[CODE COLEUR]],"_",Matiere_premiere[[#This Row],[COULEUR]],"_",Matiere_premiere[[#This Row],[CODE FAB]],"_",Matiere_premiere[[#This Row],[Num de Lot]])</f>
        <v>C02_ECRU_NM10-02.00_S2023</v>
      </c>
    </row>
    <row r="39" spans="1:23" ht="19.7" customHeight="1" thickBot="1" x14ac:dyDescent="0.3">
      <c r="A39" s="68"/>
      <c r="B39" s="71"/>
      <c r="C39" s="71"/>
      <c r="D39" s="74"/>
      <c r="E39" s="76"/>
      <c r="F39" s="78"/>
      <c r="G39" s="74"/>
      <c r="H39" s="76"/>
      <c r="I39" s="80"/>
      <c r="J39" s="11" t="str">
        <f>Matiere_premiere[[#This Row],[Entrepot]]</f>
        <v>E2</v>
      </c>
      <c r="K39" s="9" t="b">
        <f>IF(Matiere_premiere[[#This Row],[INVENTAIRE]]&gt;0,TRUE,FALSE)</f>
        <v>1</v>
      </c>
      <c r="L39" s="65"/>
      <c r="M39" s="13" t="s">
        <v>116</v>
      </c>
      <c r="N39" s="13" t="s">
        <v>299</v>
      </c>
      <c r="O39" s="13" t="s">
        <v>298</v>
      </c>
      <c r="P39" s="13" t="s">
        <v>303</v>
      </c>
      <c r="Q39" s="55" t="s">
        <v>69</v>
      </c>
      <c r="R39" s="13" t="s">
        <v>74</v>
      </c>
      <c r="S39" s="14">
        <v>262.5</v>
      </c>
      <c r="T39" s="14"/>
      <c r="U39" s="14"/>
      <c r="V39" s="14">
        <f>SUM(Matiere_premiere[[#This Row],[INVENTAIRE]],-Matiere_premiere[[#This Row],[Entrée]],-Matiere_premiere[[#This Row],[Sortis]])</f>
        <v>262.5</v>
      </c>
      <c r="W39" s="50" t="str">
        <f>CONCATENATE(Matiere_premiere[[#This Row],[CODE COLEUR]],"_",Matiere_premiere[[#This Row],[COULEUR]],"_",Matiere_premiere[[#This Row],[CODE FAB]],"_",Matiere_premiere[[#This Row],[Num de Lot]])</f>
        <v>C02_ECRU_NM10-02.00_S2023</v>
      </c>
    </row>
    <row r="40" spans="1:23" ht="19.7" customHeight="1" thickBot="1" x14ac:dyDescent="0.3">
      <c r="A40" s="68"/>
      <c r="B40" s="71"/>
      <c r="C40" s="71"/>
      <c r="D40" s="74"/>
      <c r="E40" s="76"/>
      <c r="F40" s="78"/>
      <c r="G40" s="74"/>
      <c r="H40" s="76"/>
      <c r="I40" s="80"/>
      <c r="J40" s="11" t="str">
        <f>Matiere_premiere[[#This Row],[Entrepot]]</f>
        <v>E3</v>
      </c>
      <c r="K40" s="9" t="b">
        <f>IF(Matiere_premiere[[#This Row],[INVENTAIRE]]&gt;0,TRUE,FALSE)</f>
        <v>1</v>
      </c>
      <c r="L40" s="65"/>
      <c r="M40" s="13" t="s">
        <v>116</v>
      </c>
      <c r="N40" s="13" t="s">
        <v>299</v>
      </c>
      <c r="O40" s="13" t="s">
        <v>298</v>
      </c>
      <c r="P40" s="13" t="s">
        <v>303</v>
      </c>
      <c r="Q40" s="55" t="s">
        <v>69</v>
      </c>
      <c r="R40" s="13" t="s">
        <v>73</v>
      </c>
      <c r="S40" s="14">
        <v>17.5</v>
      </c>
      <c r="T40" s="14"/>
      <c r="U40" s="14"/>
      <c r="V40" s="14">
        <f>SUM(Matiere_premiere[[#This Row],[INVENTAIRE]],-Matiere_premiere[[#This Row],[Entrée]],-Matiere_premiere[[#This Row],[Sortis]])</f>
        <v>17.5</v>
      </c>
      <c r="W40" s="50" t="str">
        <f>CONCATENATE(Matiere_premiere[[#This Row],[CODE COLEUR]],"_",Matiere_premiere[[#This Row],[COULEUR]],"_",Matiere_premiere[[#This Row],[CODE FAB]],"_",Matiere_premiere[[#This Row],[Num de Lot]])</f>
        <v>C02_ECRU_NM10-02.00_S2023</v>
      </c>
    </row>
    <row r="41" spans="1:23" ht="19.7" customHeight="1" thickBot="1" x14ac:dyDescent="0.3">
      <c r="A41" s="69"/>
      <c r="B41" s="72"/>
      <c r="C41" s="72"/>
      <c r="D41" s="75"/>
      <c r="E41" s="77"/>
      <c r="F41" s="79"/>
      <c r="G41" s="75"/>
      <c r="H41" s="77"/>
      <c r="I41" s="81"/>
      <c r="J41" s="10" t="str">
        <f>Matiere_premiere[[#This Row],[Entrepot]]</f>
        <v>Usine</v>
      </c>
      <c r="K41" s="9" t="b">
        <f>IF(Matiere_premiere[[#This Row],[INVENTAIRE]]&gt;0,TRUE,FALSE)</f>
        <v>0</v>
      </c>
      <c r="L41" s="66"/>
      <c r="M41" s="13" t="s">
        <v>116</v>
      </c>
      <c r="N41" s="13" t="s">
        <v>299</v>
      </c>
      <c r="O41" s="13" t="s">
        <v>298</v>
      </c>
      <c r="P41" s="13" t="s">
        <v>303</v>
      </c>
      <c r="Q41" s="55" t="s">
        <v>69</v>
      </c>
      <c r="R41" s="13" t="s">
        <v>68</v>
      </c>
      <c r="S41" s="14">
        <v>0</v>
      </c>
      <c r="T41" s="14"/>
      <c r="U41" s="14"/>
      <c r="V41" s="14">
        <f>SUM(Matiere_premiere[[#This Row],[INVENTAIRE]],-Matiere_premiere[[#This Row],[Entrée]],-Matiere_premiere[[#This Row],[Sortis]])</f>
        <v>0</v>
      </c>
      <c r="W41" s="50" t="str">
        <f>CONCATENATE(Matiere_premiere[[#This Row],[CODE COLEUR]],"_",Matiere_premiere[[#This Row],[COULEUR]],"_",Matiere_premiere[[#This Row],[CODE FAB]],"_",Matiere_premiere[[#This Row],[Num de Lot]])</f>
        <v>C02_ECRU_NM10-02.00_S2023</v>
      </c>
    </row>
    <row r="42" spans="1:23" ht="19.7" customHeight="1" thickTop="1" thickBot="1" x14ac:dyDescent="0.3">
      <c r="A42" s="67" t="str">
        <f>Matiere_premiere[[#This Row],[NUMERO METRIQUE]]</f>
        <v>NM12</v>
      </c>
      <c r="B42" s="70" t="str">
        <f>Matiere_premiere[[#This Row],[COULEUR]]</f>
        <v>ECRU</v>
      </c>
      <c r="C42" s="70" t="str">
        <f>Matiere_premiere[[#This Row],[CODE COLEUR]]</f>
        <v>C02</v>
      </c>
      <c r="D42" s="73" t="str">
        <f>Matiere_premiere[[#This Row],[CODE FAB]]</f>
        <v>NM12-02.00</v>
      </c>
      <c r="E42" s="76" t="e" vm="14">
        <f>_xlfn.IMAGE("https://api.qrserver.com/v1/create-qr-code/?size=100x100&amp;data=" &amp; D42)</f>
        <v>#VALUE!</v>
      </c>
      <c r="F42" s="78"/>
      <c r="G42" s="73" t="str">
        <f>Matiere_premiere[[#This Row],[Num de Lot]]</f>
        <v>S2023</v>
      </c>
      <c r="H42" s="76" t="e" vm="2">
        <f>_xlfn.IMAGE("https://api.qrserver.com/v1/create-qr-code/?size=100x100&amp;data=" &amp; G42)</f>
        <v>#VALUE!</v>
      </c>
      <c r="I42" s="80"/>
      <c r="J42" s="12" t="str">
        <f>Matiere_premiere[[#This Row],[Entrepot]]</f>
        <v>E1</v>
      </c>
      <c r="K42" s="9" t="b">
        <f>IF(Matiere_premiere[[#This Row],[INVENTAIRE]]&gt;0,TRUE,FALSE)</f>
        <v>0</v>
      </c>
      <c r="L42" s="65"/>
      <c r="M42" s="8" t="s">
        <v>257</v>
      </c>
      <c r="N42" s="8" t="s">
        <v>299</v>
      </c>
      <c r="O42" s="8" t="s">
        <v>298</v>
      </c>
      <c r="P42" s="8" t="s">
        <v>302</v>
      </c>
      <c r="Q42" s="53" t="s">
        <v>69</v>
      </c>
      <c r="R42" s="8" t="s">
        <v>75</v>
      </c>
      <c r="S42" s="7">
        <v>0</v>
      </c>
      <c r="T42" s="7"/>
      <c r="U42" s="7"/>
      <c r="V42" s="7">
        <f>SUM(Matiere_premiere[[#This Row],[INVENTAIRE]],-Matiere_premiere[[#This Row],[Entrée]],-Matiere_premiere[[#This Row],[Sortis]])</f>
        <v>0</v>
      </c>
      <c r="W42" s="50" t="str">
        <f>CONCATENATE(Matiere_premiere[[#This Row],[CODE COLEUR]],"_",Matiere_premiere[[#This Row],[COULEUR]],"_",Matiere_premiere[[#This Row],[CODE FAB]],"_",Matiere_premiere[[#This Row],[Num de Lot]])</f>
        <v>C02_ECRU_NM12-02.00_S2023</v>
      </c>
    </row>
    <row r="43" spans="1:23" ht="19.7" customHeight="1" thickBot="1" x14ac:dyDescent="0.3">
      <c r="A43" s="68"/>
      <c r="B43" s="71"/>
      <c r="C43" s="71"/>
      <c r="D43" s="74"/>
      <c r="E43" s="76"/>
      <c r="F43" s="78"/>
      <c r="G43" s="74"/>
      <c r="H43" s="76"/>
      <c r="I43" s="80"/>
      <c r="J43" s="11" t="str">
        <f>Matiere_premiere[[#This Row],[Entrepot]]</f>
        <v>E2</v>
      </c>
      <c r="K43" s="9" t="b">
        <f>IF(Matiere_premiere[[#This Row],[INVENTAIRE]]&gt;0,TRUE,FALSE)</f>
        <v>0</v>
      </c>
      <c r="L43" s="65"/>
      <c r="M43" s="8" t="s">
        <v>257</v>
      </c>
      <c r="N43" s="8" t="s">
        <v>299</v>
      </c>
      <c r="O43" s="8" t="s">
        <v>298</v>
      </c>
      <c r="P43" s="8" t="s">
        <v>302</v>
      </c>
      <c r="Q43" s="53" t="s">
        <v>69</v>
      </c>
      <c r="R43" s="8" t="s">
        <v>74</v>
      </c>
      <c r="S43" s="7">
        <v>0</v>
      </c>
      <c r="T43" s="7"/>
      <c r="U43" s="7"/>
      <c r="V43" s="7">
        <f>SUM(Matiere_premiere[[#This Row],[INVENTAIRE]],-Matiere_premiere[[#This Row],[Entrée]],-Matiere_premiere[[#This Row],[Sortis]])</f>
        <v>0</v>
      </c>
      <c r="W43" s="50" t="str">
        <f>CONCATENATE(Matiere_premiere[[#This Row],[CODE COLEUR]],"_",Matiere_premiere[[#This Row],[COULEUR]],"_",Matiere_premiere[[#This Row],[CODE FAB]],"_",Matiere_premiere[[#This Row],[Num de Lot]])</f>
        <v>C02_ECRU_NM12-02.00_S2023</v>
      </c>
    </row>
    <row r="44" spans="1:23" ht="19.7" customHeight="1" thickBot="1" x14ac:dyDescent="0.3">
      <c r="A44" s="68"/>
      <c r="B44" s="71"/>
      <c r="C44" s="71"/>
      <c r="D44" s="74"/>
      <c r="E44" s="76"/>
      <c r="F44" s="78"/>
      <c r="G44" s="74"/>
      <c r="H44" s="76"/>
      <c r="I44" s="80"/>
      <c r="J44" s="11" t="str">
        <f>Matiere_premiere[[#This Row],[Entrepot]]</f>
        <v>E3</v>
      </c>
      <c r="K44" s="9" t="b">
        <f>IF(Matiere_premiere[[#This Row],[INVENTAIRE]]&gt;0,TRUE,FALSE)</f>
        <v>0</v>
      </c>
      <c r="L44" s="65"/>
      <c r="M44" s="8" t="s">
        <v>257</v>
      </c>
      <c r="N44" s="8" t="s">
        <v>299</v>
      </c>
      <c r="O44" s="8" t="s">
        <v>298</v>
      </c>
      <c r="P44" s="8" t="s">
        <v>302</v>
      </c>
      <c r="Q44" s="53" t="s">
        <v>69</v>
      </c>
      <c r="R44" s="8" t="s">
        <v>73</v>
      </c>
      <c r="S44" s="7">
        <v>0</v>
      </c>
      <c r="T44" s="7"/>
      <c r="U44" s="7"/>
      <c r="V44" s="7">
        <f>SUM(Matiere_premiere[[#This Row],[INVENTAIRE]],-Matiere_premiere[[#This Row],[Entrée]],-Matiere_premiere[[#This Row],[Sortis]])</f>
        <v>0</v>
      </c>
      <c r="W44" s="50" t="str">
        <f>CONCATENATE(Matiere_premiere[[#This Row],[CODE COLEUR]],"_",Matiere_premiere[[#This Row],[COULEUR]],"_",Matiere_premiere[[#This Row],[CODE FAB]],"_",Matiere_premiere[[#This Row],[Num de Lot]])</f>
        <v>C02_ECRU_NM12-02.00_S2023</v>
      </c>
    </row>
    <row r="45" spans="1:23" ht="19.7" customHeight="1" thickBot="1" x14ac:dyDescent="0.3">
      <c r="A45" s="69"/>
      <c r="B45" s="72"/>
      <c r="C45" s="72"/>
      <c r="D45" s="75"/>
      <c r="E45" s="77"/>
      <c r="F45" s="79"/>
      <c r="G45" s="75"/>
      <c r="H45" s="77"/>
      <c r="I45" s="81"/>
      <c r="J45" s="10" t="str">
        <f>Matiere_premiere[[#This Row],[Entrepot]]</f>
        <v>Usine</v>
      </c>
      <c r="K45" s="9" t="b">
        <f>IF(Matiere_premiere[[#This Row],[INVENTAIRE]]&gt;0,TRUE,FALSE)</f>
        <v>0</v>
      </c>
      <c r="L45" s="66"/>
      <c r="M45" s="8" t="s">
        <v>257</v>
      </c>
      <c r="N45" s="8" t="s">
        <v>299</v>
      </c>
      <c r="O45" s="8" t="s">
        <v>298</v>
      </c>
      <c r="P45" s="8" t="s">
        <v>302</v>
      </c>
      <c r="Q45" s="53" t="s">
        <v>69</v>
      </c>
      <c r="R45" s="8" t="s">
        <v>68</v>
      </c>
      <c r="S45" s="7">
        <v>0</v>
      </c>
      <c r="T45" s="7"/>
      <c r="U45" s="7"/>
      <c r="V45" s="7">
        <f>SUM(Matiere_premiere[[#This Row],[INVENTAIRE]],-Matiere_premiere[[#This Row],[Entrée]],-Matiere_premiere[[#This Row],[Sortis]])</f>
        <v>0</v>
      </c>
      <c r="W45" s="50" t="str">
        <f>CONCATENATE(Matiere_premiere[[#This Row],[CODE COLEUR]],"_",Matiere_premiere[[#This Row],[COULEUR]],"_",Matiere_premiere[[#This Row],[CODE FAB]],"_",Matiere_premiere[[#This Row],[Num de Lot]])</f>
        <v>C02_ECRU_NM12-02.00_S2023</v>
      </c>
    </row>
    <row r="46" spans="1:23" ht="19.7" customHeight="1" thickTop="1" thickBot="1" x14ac:dyDescent="0.3">
      <c r="A46" s="67" t="str">
        <f>Matiere_premiere[[#This Row],[NUMERO METRIQUE]]</f>
        <v>NM15</v>
      </c>
      <c r="B46" s="70" t="str">
        <f>Matiere_premiere[[#This Row],[COULEUR]]</f>
        <v>ECRU</v>
      </c>
      <c r="C46" s="70" t="str">
        <f>Matiere_premiere[[#This Row],[CODE COLEUR]]</f>
        <v>C02</v>
      </c>
      <c r="D46" s="73" t="str">
        <f>Matiere_premiere[[#This Row],[CODE FAB]]</f>
        <v>NM15-02.00</v>
      </c>
      <c r="E46" s="76" t="e" vm="15">
        <f>_xlfn.IMAGE("https://api.qrserver.com/v1/create-qr-code/?size=100x100&amp;data=" &amp; D46)</f>
        <v>#VALUE!</v>
      </c>
      <c r="F46" s="78"/>
      <c r="G46" s="73">
        <f>Matiere_premiere[[#This Row],[Num de Lot]]</f>
        <v>61424</v>
      </c>
      <c r="H46" s="76" t="e" vm="16">
        <f>_xlfn.IMAGE("https://api.qrserver.com/v1/create-qr-code/?size=100x100&amp;data=" &amp; G46)</f>
        <v>#VALUE!</v>
      </c>
      <c r="I46" s="80"/>
      <c r="J46" s="12" t="str">
        <f>Matiere_premiere[[#This Row],[Entrepot]]</f>
        <v>E1</v>
      </c>
      <c r="K46" s="9" t="b">
        <f>IF(Matiere_premiere[[#This Row],[INVENTAIRE]]&gt;0,TRUE,FALSE)</f>
        <v>1</v>
      </c>
      <c r="L46" s="65"/>
      <c r="M46" s="13" t="s">
        <v>103</v>
      </c>
      <c r="N46" s="13" t="s">
        <v>299</v>
      </c>
      <c r="O46" s="13" t="s">
        <v>298</v>
      </c>
      <c r="P46" s="13" t="s">
        <v>301</v>
      </c>
      <c r="Q46" s="55">
        <v>61424</v>
      </c>
      <c r="R46" s="13" t="s">
        <v>75</v>
      </c>
      <c r="S46" s="14">
        <v>77</v>
      </c>
      <c r="T46" s="14"/>
      <c r="U46" s="14"/>
      <c r="V46" s="14">
        <f>SUM(Matiere_premiere[[#This Row],[INVENTAIRE]],-Matiere_premiere[[#This Row],[Entrée]],-Matiere_premiere[[#This Row],[Sortis]])</f>
        <v>77</v>
      </c>
      <c r="W46" s="50" t="str">
        <f>CONCATENATE(Matiere_premiere[[#This Row],[CODE COLEUR]],"_",Matiere_premiere[[#This Row],[COULEUR]],"_",Matiere_premiere[[#This Row],[CODE FAB]],"_",Matiere_premiere[[#This Row],[Num de Lot]])</f>
        <v>C02_ECRU_NM15-02.00_61424</v>
      </c>
    </row>
    <row r="47" spans="1:23" ht="19.7" customHeight="1" thickBot="1" x14ac:dyDescent="0.3">
      <c r="A47" s="68"/>
      <c r="B47" s="71"/>
      <c r="C47" s="71"/>
      <c r="D47" s="74"/>
      <c r="E47" s="76"/>
      <c r="F47" s="78"/>
      <c r="G47" s="74"/>
      <c r="H47" s="76"/>
      <c r="I47" s="80"/>
      <c r="J47" s="11" t="str">
        <f>Matiere_premiere[[#This Row],[Entrepot]]</f>
        <v>E2</v>
      </c>
      <c r="K47" s="9" t="b">
        <f>IF(Matiere_premiere[[#This Row],[INVENTAIRE]]&gt;0,TRUE,FALSE)</f>
        <v>0</v>
      </c>
      <c r="L47" s="65"/>
      <c r="M47" s="13" t="s">
        <v>103</v>
      </c>
      <c r="N47" s="13" t="s">
        <v>299</v>
      </c>
      <c r="O47" s="13" t="s">
        <v>298</v>
      </c>
      <c r="P47" s="13" t="s">
        <v>301</v>
      </c>
      <c r="Q47" s="55">
        <v>61424</v>
      </c>
      <c r="R47" s="13" t="s">
        <v>74</v>
      </c>
      <c r="S47" s="14">
        <v>0</v>
      </c>
      <c r="T47" s="14"/>
      <c r="U47" s="14"/>
      <c r="V47" s="14">
        <f>SUM(Matiere_premiere[[#This Row],[INVENTAIRE]],-Matiere_premiere[[#This Row],[Entrée]],-Matiere_premiere[[#This Row],[Sortis]])</f>
        <v>0</v>
      </c>
      <c r="W47" s="50" t="str">
        <f>CONCATENATE(Matiere_premiere[[#This Row],[CODE COLEUR]],"_",Matiere_premiere[[#This Row],[COULEUR]],"_",Matiere_premiere[[#This Row],[CODE FAB]],"_",Matiere_premiere[[#This Row],[Num de Lot]])</f>
        <v>C02_ECRU_NM15-02.00_61424</v>
      </c>
    </row>
    <row r="48" spans="1:23" ht="19.7" customHeight="1" thickBot="1" x14ac:dyDescent="0.3">
      <c r="A48" s="68"/>
      <c r="B48" s="71"/>
      <c r="C48" s="71"/>
      <c r="D48" s="74"/>
      <c r="E48" s="76"/>
      <c r="F48" s="78"/>
      <c r="G48" s="74"/>
      <c r="H48" s="76"/>
      <c r="I48" s="80"/>
      <c r="J48" s="11" t="str">
        <f>Matiere_premiere[[#This Row],[Entrepot]]</f>
        <v>E3</v>
      </c>
      <c r="K48" s="9" t="b">
        <f>IF(Matiere_premiere[[#This Row],[INVENTAIRE]]&gt;0,TRUE,FALSE)</f>
        <v>0</v>
      </c>
      <c r="L48" s="65"/>
      <c r="M48" s="13" t="s">
        <v>103</v>
      </c>
      <c r="N48" s="13" t="s">
        <v>299</v>
      </c>
      <c r="O48" s="13" t="s">
        <v>298</v>
      </c>
      <c r="P48" s="13" t="s">
        <v>301</v>
      </c>
      <c r="Q48" s="55">
        <v>61424</v>
      </c>
      <c r="R48" s="13" t="s">
        <v>73</v>
      </c>
      <c r="S48" s="14">
        <v>0</v>
      </c>
      <c r="T48" s="14"/>
      <c r="U48" s="14"/>
      <c r="V48" s="14">
        <f>SUM(Matiere_premiere[[#This Row],[INVENTAIRE]],-Matiere_premiere[[#This Row],[Entrée]],-Matiere_premiere[[#This Row],[Sortis]])</f>
        <v>0</v>
      </c>
      <c r="W48" s="50" t="str">
        <f>CONCATENATE(Matiere_premiere[[#This Row],[CODE COLEUR]],"_",Matiere_premiere[[#This Row],[COULEUR]],"_",Matiere_premiere[[#This Row],[CODE FAB]],"_",Matiere_premiere[[#This Row],[Num de Lot]])</f>
        <v>C02_ECRU_NM15-02.00_61424</v>
      </c>
    </row>
    <row r="49" spans="1:23" ht="19.7" customHeight="1" thickBot="1" x14ac:dyDescent="0.3">
      <c r="A49" s="69"/>
      <c r="B49" s="72"/>
      <c r="C49" s="72"/>
      <c r="D49" s="75"/>
      <c r="E49" s="77"/>
      <c r="F49" s="79"/>
      <c r="G49" s="75"/>
      <c r="H49" s="77"/>
      <c r="I49" s="81"/>
      <c r="J49" s="10" t="str">
        <f>Matiere_premiere[[#This Row],[Entrepot]]</f>
        <v>Usine</v>
      </c>
      <c r="K49" s="9" t="b">
        <f>IF(Matiere_premiere[[#This Row],[INVENTAIRE]]&gt;0,TRUE,FALSE)</f>
        <v>1</v>
      </c>
      <c r="L49" s="66"/>
      <c r="M49" s="13" t="s">
        <v>103</v>
      </c>
      <c r="N49" s="13" t="s">
        <v>299</v>
      </c>
      <c r="O49" s="13" t="s">
        <v>298</v>
      </c>
      <c r="P49" s="13" t="s">
        <v>301</v>
      </c>
      <c r="Q49" s="55" t="s">
        <v>352</v>
      </c>
      <c r="R49" s="13" t="s">
        <v>68</v>
      </c>
      <c r="S49" s="14">
        <v>1.7</v>
      </c>
      <c r="T49" s="14"/>
      <c r="U49" s="14"/>
      <c r="V49" s="14">
        <f>SUM(Matiere_premiere[[#This Row],[INVENTAIRE]],-Matiere_premiere[[#This Row],[Entrée]],-Matiere_premiere[[#This Row],[Sortis]])</f>
        <v>1.7</v>
      </c>
      <c r="W49" s="50" t="str">
        <f>CONCATENATE(Matiere_premiere[[#This Row],[CODE COLEUR]],"_",Matiere_premiere[[#This Row],[COULEUR]],"_",Matiere_premiere[[#This Row],[CODE FAB]],"_",Matiere_premiere[[#This Row],[Num de Lot]])</f>
        <v>C02_ECRU_NM15-02.00_61424</v>
      </c>
    </row>
    <row r="50" spans="1:23" ht="19.7" customHeight="1" thickTop="1" thickBot="1" x14ac:dyDescent="0.3">
      <c r="A50" s="67" t="str">
        <f>Matiere_premiere[[#This Row],[NUMERO METRIQUE]]</f>
        <v>NM15</v>
      </c>
      <c r="B50" s="70" t="str">
        <f>Matiere_premiere[[#This Row],[COULEUR]]</f>
        <v>Ecru</v>
      </c>
      <c r="C50" s="70" t="str">
        <f>Matiere_premiere[[#This Row],[CODE COLEUR]]</f>
        <v>C02</v>
      </c>
      <c r="D50" s="73" t="str">
        <f>Matiere_premiere[[#This Row],[CODE FAB]]</f>
        <v>NM15-02.00</v>
      </c>
      <c r="E50" s="76" t="e" vm="15">
        <f>_xlfn.IMAGE("https://api.qrserver.com/v1/create-qr-code/?size=100x100&amp;data=" &amp; D50)</f>
        <v>#VALUE!</v>
      </c>
      <c r="F50" s="78"/>
      <c r="G50" s="73">
        <f>Matiere_premiere[[#This Row],[Num de Lot]]</f>
        <v>65324</v>
      </c>
      <c r="H50" s="76" t="e" vm="17">
        <f>_xlfn.IMAGE("https://api.qrserver.com/v1/create-qr-code/?size=100x100&amp;data=" &amp; G50)</f>
        <v>#VALUE!</v>
      </c>
      <c r="I50" s="80"/>
      <c r="J50" s="12" t="str">
        <f>Matiere_premiere[[#This Row],[Entrepot]]</f>
        <v>E1</v>
      </c>
      <c r="K50" s="9" t="b">
        <f>IF(Matiere_premiere[[#This Row],[INVENTAIRE]]&gt;0,TRUE,FALSE)</f>
        <v>0</v>
      </c>
      <c r="L50" s="65"/>
      <c r="M50" s="15" t="s">
        <v>103</v>
      </c>
      <c r="N50" s="15" t="s">
        <v>96</v>
      </c>
      <c r="O50" s="15" t="s">
        <v>298</v>
      </c>
      <c r="P50" s="15" t="s">
        <v>301</v>
      </c>
      <c r="Q50" s="56">
        <v>65324</v>
      </c>
      <c r="R50" s="8" t="s">
        <v>75</v>
      </c>
      <c r="S50" s="7">
        <v>0</v>
      </c>
      <c r="T50" s="7"/>
      <c r="U50" s="7"/>
      <c r="V50" s="7">
        <f>SUM(Matiere_premiere[[#This Row],[INVENTAIRE]],-Matiere_premiere[[#This Row],[Entrée]],-Matiere_premiere[[#This Row],[Sortis]])</f>
        <v>0</v>
      </c>
      <c r="W50" s="50" t="str">
        <f>CONCATENATE(Matiere_premiere[[#This Row],[CODE COLEUR]],"_",Matiere_premiere[[#This Row],[COULEUR]],"_",Matiere_premiere[[#This Row],[CODE FAB]],"_",Matiere_premiere[[#This Row],[Num de Lot]])</f>
        <v>C02_Ecru_NM15-02.00_65324</v>
      </c>
    </row>
    <row r="51" spans="1:23" ht="19.7" customHeight="1" thickBot="1" x14ac:dyDescent="0.3">
      <c r="A51" s="68"/>
      <c r="B51" s="71"/>
      <c r="C51" s="71"/>
      <c r="D51" s="74"/>
      <c r="E51" s="76"/>
      <c r="F51" s="78"/>
      <c r="G51" s="74"/>
      <c r="H51" s="76"/>
      <c r="I51" s="80"/>
      <c r="J51" s="11" t="str">
        <f>Matiere_premiere[[#This Row],[Entrepot]]</f>
        <v>E2</v>
      </c>
      <c r="K51" s="9" t="b">
        <f>IF(Matiere_premiere[[#This Row],[INVENTAIRE]]&gt;0,TRUE,FALSE)</f>
        <v>0</v>
      </c>
      <c r="L51" s="65"/>
      <c r="M51" s="15" t="s">
        <v>103</v>
      </c>
      <c r="N51" s="15" t="s">
        <v>96</v>
      </c>
      <c r="O51" s="15" t="s">
        <v>298</v>
      </c>
      <c r="P51" s="15" t="s">
        <v>301</v>
      </c>
      <c r="Q51" s="56">
        <v>65324</v>
      </c>
      <c r="R51" s="8" t="s">
        <v>74</v>
      </c>
      <c r="S51" s="7">
        <v>0</v>
      </c>
      <c r="T51" s="7"/>
      <c r="U51" s="7"/>
      <c r="V51" s="7">
        <f>SUM(Matiere_premiere[[#This Row],[INVENTAIRE]],-Matiere_premiere[[#This Row],[Entrée]],-Matiere_premiere[[#This Row],[Sortis]])</f>
        <v>0</v>
      </c>
      <c r="W51" s="50" t="str">
        <f>CONCATENATE(Matiere_premiere[[#This Row],[CODE COLEUR]],"_",Matiere_premiere[[#This Row],[COULEUR]],"_",Matiere_premiere[[#This Row],[CODE FAB]],"_",Matiere_premiere[[#This Row],[Num de Lot]])</f>
        <v>C02_Ecru_NM15-02.00_65324</v>
      </c>
    </row>
    <row r="52" spans="1:23" ht="19.7" customHeight="1" thickBot="1" x14ac:dyDescent="0.3">
      <c r="A52" s="68"/>
      <c r="B52" s="71"/>
      <c r="C52" s="71"/>
      <c r="D52" s="74"/>
      <c r="E52" s="76"/>
      <c r="F52" s="78"/>
      <c r="G52" s="74"/>
      <c r="H52" s="76"/>
      <c r="I52" s="80"/>
      <c r="J52" s="11" t="str">
        <f>Matiere_premiere[[#This Row],[Entrepot]]</f>
        <v>E3</v>
      </c>
      <c r="K52" s="9" t="b">
        <f>IF(Matiere_premiere[[#This Row],[INVENTAIRE]]&gt;0,TRUE,FALSE)</f>
        <v>0</v>
      </c>
      <c r="L52" s="65"/>
      <c r="M52" s="15" t="s">
        <v>103</v>
      </c>
      <c r="N52" s="15" t="s">
        <v>96</v>
      </c>
      <c r="O52" s="15" t="s">
        <v>298</v>
      </c>
      <c r="P52" s="15" t="s">
        <v>301</v>
      </c>
      <c r="Q52" s="56">
        <v>65324</v>
      </c>
      <c r="R52" s="8" t="s">
        <v>73</v>
      </c>
      <c r="S52" s="7">
        <v>0</v>
      </c>
      <c r="T52" s="7"/>
      <c r="U52" s="7"/>
      <c r="V52" s="7">
        <f>SUM(Matiere_premiere[[#This Row],[INVENTAIRE]],-Matiere_premiere[[#This Row],[Entrée]],-Matiere_premiere[[#This Row],[Sortis]])</f>
        <v>0</v>
      </c>
      <c r="W52" s="50" t="str">
        <f>CONCATENATE(Matiere_premiere[[#This Row],[CODE COLEUR]],"_",Matiere_premiere[[#This Row],[COULEUR]],"_",Matiere_premiere[[#This Row],[CODE FAB]],"_",Matiere_premiere[[#This Row],[Num de Lot]])</f>
        <v>C02_Ecru_NM15-02.00_65324</v>
      </c>
    </row>
    <row r="53" spans="1:23" ht="19.7" customHeight="1" thickBot="1" x14ac:dyDescent="0.3">
      <c r="A53" s="69"/>
      <c r="B53" s="72"/>
      <c r="C53" s="72"/>
      <c r="D53" s="75"/>
      <c r="E53" s="77"/>
      <c r="F53" s="79"/>
      <c r="G53" s="75"/>
      <c r="H53" s="77"/>
      <c r="I53" s="81"/>
      <c r="J53" s="10" t="str">
        <f>Matiere_premiere[[#This Row],[Entrepot]]</f>
        <v>Usine</v>
      </c>
      <c r="K53" s="9" t="b">
        <f>IF(Matiere_premiere[[#This Row],[INVENTAIRE]]&gt;0,TRUE,FALSE)</f>
        <v>0</v>
      </c>
      <c r="L53" s="66"/>
      <c r="M53" s="8" t="s">
        <v>103</v>
      </c>
      <c r="N53" s="8" t="s">
        <v>96</v>
      </c>
      <c r="O53" s="8" t="s">
        <v>298</v>
      </c>
      <c r="P53" s="8" t="s">
        <v>301</v>
      </c>
      <c r="Q53" s="53">
        <v>65324</v>
      </c>
      <c r="R53" s="8" t="s">
        <v>68</v>
      </c>
      <c r="S53" s="7">
        <v>0</v>
      </c>
      <c r="T53" s="7"/>
      <c r="U53" s="7"/>
      <c r="V53" s="7">
        <f>SUM(Matiere_premiere[[#This Row],[INVENTAIRE]],-Matiere_premiere[[#This Row],[Entrée]],-Matiere_premiere[[#This Row],[Sortis]])</f>
        <v>0</v>
      </c>
      <c r="W53" s="50" t="str">
        <f>CONCATENATE(Matiere_premiere[[#This Row],[CODE COLEUR]],"_",Matiere_premiere[[#This Row],[COULEUR]],"_",Matiere_premiere[[#This Row],[CODE FAB]],"_",Matiere_premiere[[#This Row],[Num de Lot]])</f>
        <v>C02_Ecru_NM15-02.00_65324</v>
      </c>
    </row>
    <row r="54" spans="1:23" ht="19.7" customHeight="1" thickTop="1" thickBot="1" x14ac:dyDescent="0.3">
      <c r="A54" s="67" t="str">
        <f>Matiere_premiere[[#This Row],[NUMERO METRIQUE]]</f>
        <v>NM20</v>
      </c>
      <c r="B54" s="70" t="str">
        <f>Matiere_premiere[[#This Row],[COULEUR]]</f>
        <v>ECRU</v>
      </c>
      <c r="C54" s="70" t="str">
        <f>Matiere_premiere[[#This Row],[CODE COLEUR]]</f>
        <v>C02</v>
      </c>
      <c r="D54" s="73" t="str">
        <f>Matiere_premiere[[#This Row],[CODE FAB]]</f>
        <v>NM20-02.00</v>
      </c>
      <c r="E54" s="76" t="e" vm="18">
        <f>_xlfn.IMAGE("https://api.qrserver.com/v1/create-qr-code/?size=100x100&amp;data=" &amp; D54)</f>
        <v>#VALUE!</v>
      </c>
      <c r="F54" s="78"/>
      <c r="G54" s="73" t="str">
        <f>Matiere_premiere[[#This Row],[Num de Lot]]</f>
        <v>S2023</v>
      </c>
      <c r="H54" s="76" t="e" vm="2">
        <f>_xlfn.IMAGE("https://api.qrserver.com/v1/create-qr-code/?size=100x100&amp;data=" &amp; G54)</f>
        <v>#VALUE!</v>
      </c>
      <c r="I54" s="80"/>
      <c r="J54" s="12" t="str">
        <f>Matiere_premiere[[#This Row],[Entrepot]]</f>
        <v>E1</v>
      </c>
      <c r="K54" s="9" t="b">
        <f>IF(Matiere_premiere[[#This Row],[INVENTAIRE]]&gt;0,TRUE,FALSE)</f>
        <v>1</v>
      </c>
      <c r="L54" s="65"/>
      <c r="M54" s="13" t="s">
        <v>82</v>
      </c>
      <c r="N54" s="13" t="s">
        <v>299</v>
      </c>
      <c r="O54" s="13" t="s">
        <v>298</v>
      </c>
      <c r="P54" s="13" t="s">
        <v>300</v>
      </c>
      <c r="Q54" s="55" t="s">
        <v>69</v>
      </c>
      <c r="R54" s="13" t="s">
        <v>75</v>
      </c>
      <c r="S54" s="14">
        <v>50</v>
      </c>
      <c r="T54" s="14"/>
      <c r="U54" s="14"/>
      <c r="V54" s="14">
        <f>SUM(Matiere_premiere[[#This Row],[INVENTAIRE]],-Matiere_premiere[[#This Row],[Entrée]],-Matiere_premiere[[#This Row],[Sortis]])</f>
        <v>50</v>
      </c>
      <c r="W54" s="50" t="str">
        <f>CONCATENATE(Matiere_premiere[[#This Row],[CODE COLEUR]],"_",Matiere_premiere[[#This Row],[COULEUR]],"_",Matiere_premiere[[#This Row],[CODE FAB]],"_",Matiere_premiere[[#This Row],[Num de Lot]])</f>
        <v>C02_ECRU_NM20-02.00_S2023</v>
      </c>
    </row>
    <row r="55" spans="1:23" ht="19.7" customHeight="1" thickBot="1" x14ac:dyDescent="0.3">
      <c r="A55" s="68"/>
      <c r="B55" s="71"/>
      <c r="C55" s="71"/>
      <c r="D55" s="74"/>
      <c r="E55" s="76"/>
      <c r="F55" s="78"/>
      <c r="G55" s="74"/>
      <c r="H55" s="76"/>
      <c r="I55" s="80"/>
      <c r="J55" s="11" t="str">
        <f>Matiere_premiere[[#This Row],[Entrepot]]</f>
        <v>E2</v>
      </c>
      <c r="K55" s="9" t="b">
        <f>IF(Matiere_premiere[[#This Row],[INVENTAIRE]]&gt;0,TRUE,FALSE)</f>
        <v>0</v>
      </c>
      <c r="L55" s="65"/>
      <c r="M55" s="13" t="s">
        <v>82</v>
      </c>
      <c r="N55" s="13" t="s">
        <v>299</v>
      </c>
      <c r="O55" s="13" t="s">
        <v>298</v>
      </c>
      <c r="P55" s="13" t="s">
        <v>300</v>
      </c>
      <c r="Q55" s="55" t="s">
        <v>69</v>
      </c>
      <c r="R55" s="13" t="s">
        <v>74</v>
      </c>
      <c r="S55" s="14">
        <v>0</v>
      </c>
      <c r="T55" s="14"/>
      <c r="U55" s="14"/>
      <c r="V55" s="14">
        <f>SUM(Matiere_premiere[[#This Row],[INVENTAIRE]],-Matiere_premiere[[#This Row],[Entrée]],-Matiere_premiere[[#This Row],[Sortis]])</f>
        <v>0</v>
      </c>
      <c r="W55" s="50" t="str">
        <f>CONCATENATE(Matiere_premiere[[#This Row],[CODE COLEUR]],"_",Matiere_premiere[[#This Row],[COULEUR]],"_",Matiere_premiere[[#This Row],[CODE FAB]],"_",Matiere_premiere[[#This Row],[Num de Lot]])</f>
        <v>C02_ECRU_NM20-02.00_S2023</v>
      </c>
    </row>
    <row r="56" spans="1:23" ht="19.7" customHeight="1" thickBot="1" x14ac:dyDescent="0.3">
      <c r="A56" s="68"/>
      <c r="B56" s="71"/>
      <c r="C56" s="71"/>
      <c r="D56" s="74"/>
      <c r="E56" s="76"/>
      <c r="F56" s="78"/>
      <c r="G56" s="74"/>
      <c r="H56" s="76"/>
      <c r="I56" s="80"/>
      <c r="J56" s="11" t="str">
        <f>Matiere_premiere[[#This Row],[Entrepot]]</f>
        <v>E3</v>
      </c>
      <c r="K56" s="9" t="b">
        <f>IF(Matiere_premiere[[#This Row],[INVENTAIRE]]&gt;0,TRUE,FALSE)</f>
        <v>0</v>
      </c>
      <c r="L56" s="65"/>
      <c r="M56" s="13" t="s">
        <v>82</v>
      </c>
      <c r="N56" s="13" t="s">
        <v>299</v>
      </c>
      <c r="O56" s="13" t="s">
        <v>298</v>
      </c>
      <c r="P56" s="13" t="s">
        <v>300</v>
      </c>
      <c r="Q56" s="55" t="s">
        <v>69</v>
      </c>
      <c r="R56" s="13" t="s">
        <v>73</v>
      </c>
      <c r="S56" s="14">
        <v>0</v>
      </c>
      <c r="T56" s="14"/>
      <c r="U56" s="14"/>
      <c r="V56" s="14">
        <f>SUM(Matiere_premiere[[#This Row],[INVENTAIRE]],-Matiere_premiere[[#This Row],[Entrée]],-Matiere_premiere[[#This Row],[Sortis]])</f>
        <v>0</v>
      </c>
      <c r="W56" s="50" t="str">
        <f>CONCATENATE(Matiere_premiere[[#This Row],[CODE COLEUR]],"_",Matiere_premiere[[#This Row],[COULEUR]],"_",Matiere_premiere[[#This Row],[CODE FAB]],"_",Matiere_premiere[[#This Row],[Num de Lot]])</f>
        <v>C02_ECRU_NM20-02.00_S2023</v>
      </c>
    </row>
    <row r="57" spans="1:23" ht="19.7" customHeight="1" thickBot="1" x14ac:dyDescent="0.3">
      <c r="A57" s="69"/>
      <c r="B57" s="72"/>
      <c r="C57" s="72"/>
      <c r="D57" s="75"/>
      <c r="E57" s="77"/>
      <c r="F57" s="79"/>
      <c r="G57" s="75"/>
      <c r="H57" s="77"/>
      <c r="I57" s="81"/>
      <c r="J57" s="10" t="str">
        <f>Matiere_premiere[[#This Row],[Entrepot]]</f>
        <v>Usine</v>
      </c>
      <c r="K57" s="9" t="b">
        <f>IF(Matiere_premiere[[#This Row],[INVENTAIRE]]&gt;0,TRUE,FALSE)</f>
        <v>1</v>
      </c>
      <c r="L57" s="66"/>
      <c r="M57" s="13" t="s">
        <v>82</v>
      </c>
      <c r="N57" s="13" t="s">
        <v>299</v>
      </c>
      <c r="O57" s="13" t="s">
        <v>298</v>
      </c>
      <c r="P57" s="13" t="s">
        <v>300</v>
      </c>
      <c r="Q57" s="55" t="s">
        <v>69</v>
      </c>
      <c r="R57" s="13" t="s">
        <v>68</v>
      </c>
      <c r="S57" s="14">
        <v>21</v>
      </c>
      <c r="T57" s="14"/>
      <c r="U57" s="14"/>
      <c r="V57" s="14">
        <f>SUM(Matiere_premiere[[#This Row],[INVENTAIRE]],-Matiere_premiere[[#This Row],[Entrée]],-Matiere_premiere[[#This Row],[Sortis]])</f>
        <v>21</v>
      </c>
      <c r="W57" s="50" t="str">
        <f>CONCATENATE(Matiere_premiere[[#This Row],[CODE COLEUR]],"_",Matiere_premiere[[#This Row],[COULEUR]],"_",Matiere_premiere[[#This Row],[CODE FAB]],"_",Matiere_premiere[[#This Row],[Num de Lot]])</f>
        <v>C02_ECRU_NM20-02.00_S2023</v>
      </c>
    </row>
    <row r="58" spans="1:23" ht="19.7" customHeight="1" thickTop="1" thickBot="1" x14ac:dyDescent="0.3">
      <c r="A58" s="67" t="str">
        <f>Matiere_premiere[[#This Row],[NUMERO METRIQUE]]</f>
        <v>NM34</v>
      </c>
      <c r="B58" s="70" t="str">
        <f>Matiere_premiere[[#This Row],[COULEUR]]</f>
        <v>ECRU</v>
      </c>
      <c r="C58" s="70" t="str">
        <f>Matiere_premiere[[#This Row],[CODE COLEUR]]</f>
        <v>C02</v>
      </c>
      <c r="D58" s="73" t="str">
        <f>Matiere_premiere[[#This Row],[CODE FAB]]</f>
        <v>NM34-02.00</v>
      </c>
      <c r="E58" s="76" t="e" vm="19">
        <f>_xlfn.IMAGE("https://api.qrserver.com/v1/create-qr-code/?size=100x100&amp;data=" &amp; D58)</f>
        <v>#VALUE!</v>
      </c>
      <c r="F58" s="78"/>
      <c r="G58" s="73" t="str">
        <f>Matiere_premiere[[#This Row],[Num de Lot]]</f>
        <v>S2024</v>
      </c>
      <c r="H58" s="76" t="e" vm="20">
        <f>_xlfn.IMAGE("https://api.qrserver.com/v1/create-qr-code/?size=100x100&amp;data=" &amp; G58)</f>
        <v>#VALUE!</v>
      </c>
      <c r="I58" s="80"/>
      <c r="J58" s="12" t="str">
        <f>Matiere_premiere[[#This Row],[Entrepot]]</f>
        <v>E1</v>
      </c>
      <c r="K58" s="9" t="b">
        <f>IF(Matiere_premiere[[#This Row],[INVENTAIRE]]&gt;0,TRUE,FALSE)</f>
        <v>0</v>
      </c>
      <c r="L58" s="65"/>
      <c r="M58" s="8" t="s">
        <v>179</v>
      </c>
      <c r="N58" s="8" t="s">
        <v>299</v>
      </c>
      <c r="O58" s="8" t="s">
        <v>298</v>
      </c>
      <c r="P58" s="8" t="s">
        <v>297</v>
      </c>
      <c r="Q58" s="53" t="s">
        <v>175</v>
      </c>
      <c r="R58" s="8" t="s">
        <v>75</v>
      </c>
      <c r="S58" s="7">
        <v>0</v>
      </c>
      <c r="T58" s="7"/>
      <c r="U58" s="7"/>
      <c r="V58" s="7">
        <f>SUM(Matiere_premiere[[#This Row],[INVENTAIRE]],-Matiere_premiere[[#This Row],[Entrée]],-Matiere_premiere[[#This Row],[Sortis]])</f>
        <v>0</v>
      </c>
      <c r="W58" s="50" t="str">
        <f>CONCATENATE(Matiere_premiere[[#This Row],[CODE COLEUR]],"_",Matiere_premiere[[#This Row],[COULEUR]],"_",Matiere_premiere[[#This Row],[CODE FAB]],"_",Matiere_premiere[[#This Row],[Num de Lot]])</f>
        <v>C02_ECRU_NM34-02.00_S2024</v>
      </c>
    </row>
    <row r="59" spans="1:23" ht="19.7" customHeight="1" thickBot="1" x14ac:dyDescent="0.3">
      <c r="A59" s="68"/>
      <c r="B59" s="71"/>
      <c r="C59" s="71"/>
      <c r="D59" s="74"/>
      <c r="E59" s="76"/>
      <c r="F59" s="78"/>
      <c r="G59" s="74"/>
      <c r="H59" s="76"/>
      <c r="I59" s="80"/>
      <c r="J59" s="11" t="str">
        <f>Matiere_premiere[[#This Row],[Entrepot]]</f>
        <v>E2</v>
      </c>
      <c r="K59" s="9" t="b">
        <f>IF(Matiere_premiere[[#This Row],[INVENTAIRE]]&gt;0,TRUE,FALSE)</f>
        <v>0</v>
      </c>
      <c r="L59" s="65"/>
      <c r="M59" s="8" t="s">
        <v>179</v>
      </c>
      <c r="N59" s="8" t="s">
        <v>299</v>
      </c>
      <c r="O59" s="8" t="s">
        <v>298</v>
      </c>
      <c r="P59" s="8" t="s">
        <v>297</v>
      </c>
      <c r="Q59" s="53" t="s">
        <v>175</v>
      </c>
      <c r="R59" s="8" t="s">
        <v>74</v>
      </c>
      <c r="S59" s="7">
        <v>0</v>
      </c>
      <c r="T59" s="7"/>
      <c r="U59" s="7"/>
      <c r="V59" s="7">
        <f>SUM(Matiere_premiere[[#This Row],[INVENTAIRE]],-Matiere_premiere[[#This Row],[Entrée]],-Matiere_premiere[[#This Row],[Sortis]])</f>
        <v>0</v>
      </c>
      <c r="W59" s="50" t="str">
        <f>CONCATENATE(Matiere_premiere[[#This Row],[CODE COLEUR]],"_",Matiere_premiere[[#This Row],[COULEUR]],"_",Matiere_premiere[[#This Row],[CODE FAB]],"_",Matiere_premiere[[#This Row],[Num de Lot]])</f>
        <v>C02_ECRU_NM34-02.00_S2024</v>
      </c>
    </row>
    <row r="60" spans="1:23" ht="19.7" customHeight="1" thickBot="1" x14ac:dyDescent="0.3">
      <c r="A60" s="68"/>
      <c r="B60" s="71"/>
      <c r="C60" s="71"/>
      <c r="D60" s="74"/>
      <c r="E60" s="76"/>
      <c r="F60" s="78"/>
      <c r="G60" s="74"/>
      <c r="H60" s="76"/>
      <c r="I60" s="80"/>
      <c r="J60" s="11" t="str">
        <f>Matiere_premiere[[#This Row],[Entrepot]]</f>
        <v>E3</v>
      </c>
      <c r="K60" s="9" t="b">
        <f>IF(Matiere_premiere[[#This Row],[INVENTAIRE]]&gt;0,TRUE,FALSE)</f>
        <v>0</v>
      </c>
      <c r="L60" s="65"/>
      <c r="M60" s="8" t="s">
        <v>179</v>
      </c>
      <c r="N60" s="8" t="s">
        <v>299</v>
      </c>
      <c r="O60" s="8" t="s">
        <v>298</v>
      </c>
      <c r="P60" s="8" t="s">
        <v>297</v>
      </c>
      <c r="Q60" s="53" t="s">
        <v>175</v>
      </c>
      <c r="R60" s="8" t="s">
        <v>73</v>
      </c>
      <c r="S60" s="7">
        <v>0</v>
      </c>
      <c r="T60" s="7"/>
      <c r="U60" s="7"/>
      <c r="V60" s="7">
        <f>SUM(Matiere_premiere[[#This Row],[INVENTAIRE]],-Matiere_premiere[[#This Row],[Entrée]],-Matiere_premiere[[#This Row],[Sortis]])</f>
        <v>0</v>
      </c>
      <c r="W60" s="50" t="str">
        <f>CONCATENATE(Matiere_premiere[[#This Row],[CODE COLEUR]],"_",Matiere_premiere[[#This Row],[COULEUR]],"_",Matiere_premiere[[#This Row],[CODE FAB]],"_",Matiere_premiere[[#This Row],[Num de Lot]])</f>
        <v>C02_ECRU_NM34-02.00_S2024</v>
      </c>
    </row>
    <row r="61" spans="1:23" ht="19.7" customHeight="1" thickBot="1" x14ac:dyDescent="0.3">
      <c r="A61" s="69"/>
      <c r="B61" s="72"/>
      <c r="C61" s="72"/>
      <c r="D61" s="75"/>
      <c r="E61" s="77"/>
      <c r="F61" s="79"/>
      <c r="G61" s="75"/>
      <c r="H61" s="77"/>
      <c r="I61" s="81"/>
      <c r="J61" s="10" t="str">
        <f>Matiere_premiere[[#This Row],[Entrepot]]</f>
        <v>Usine</v>
      </c>
      <c r="K61" s="9" t="b">
        <f>IF(Matiere_premiere[[#This Row],[INVENTAIRE]]&gt;0,TRUE,FALSE)</f>
        <v>1</v>
      </c>
      <c r="L61" s="66"/>
      <c r="M61" s="8" t="s">
        <v>179</v>
      </c>
      <c r="N61" s="8" t="s">
        <v>299</v>
      </c>
      <c r="O61" s="8" t="s">
        <v>298</v>
      </c>
      <c r="P61" s="8" t="s">
        <v>297</v>
      </c>
      <c r="Q61" s="53" t="s">
        <v>175</v>
      </c>
      <c r="R61" s="8" t="s">
        <v>68</v>
      </c>
      <c r="S61" s="7">
        <v>267</v>
      </c>
      <c r="T61" s="7"/>
      <c r="U61" s="7"/>
      <c r="V61" s="7">
        <f>SUM(Matiere_premiere[[#This Row],[INVENTAIRE]],-Matiere_premiere[[#This Row],[Entrée]],-Matiere_premiere[[#This Row],[Sortis]])</f>
        <v>267</v>
      </c>
      <c r="W61" s="50" t="str">
        <f>CONCATENATE(Matiere_premiere[[#This Row],[CODE COLEUR]],"_",Matiere_premiere[[#This Row],[COULEUR]],"_",Matiere_premiere[[#This Row],[CODE FAB]],"_",Matiere_premiere[[#This Row],[Num de Lot]])</f>
        <v>C02_ECRU_NM34-02.00_S2024</v>
      </c>
    </row>
    <row r="62" spans="1:23" ht="19.7" customHeight="1" thickTop="1" thickBot="1" x14ac:dyDescent="0.3">
      <c r="A62" s="67" t="str">
        <f>Matiere_premiere[[#This Row],[NUMERO METRIQUE]]</f>
        <v>NM05</v>
      </c>
      <c r="B62" s="70" t="str">
        <f>Matiere_premiere[[#This Row],[COULEUR]]</f>
        <v xml:space="preserve">BEIGE </v>
      </c>
      <c r="C62" s="70" t="str">
        <f>Matiere_premiere[[#This Row],[CODE COLEUR]]</f>
        <v>C03</v>
      </c>
      <c r="D62" s="73" t="str">
        <f>Matiere_premiere[[#This Row],[CODE FAB]]</f>
        <v>NM05-03.00</v>
      </c>
      <c r="E62" s="76" t="e" vm="21">
        <f>_xlfn.IMAGE("https://api.qrserver.com/v1/create-qr-code/?size=100x100&amp;data=" &amp; D62)</f>
        <v>#VALUE!</v>
      </c>
      <c r="F62" s="78"/>
      <c r="G62" s="73">
        <f>Matiere_premiere[[#This Row],[Num de Lot]]</f>
        <v>53005</v>
      </c>
      <c r="H62" s="76" t="e" vm="22">
        <f>_xlfn.IMAGE("https://api.qrserver.com/v1/create-qr-code/?size=100x100&amp;data=" &amp; G62)</f>
        <v>#VALUE!</v>
      </c>
      <c r="I62" s="80"/>
      <c r="J62" s="12" t="str">
        <f>Matiere_premiere[[#This Row],[Entrepot]]</f>
        <v>E1</v>
      </c>
      <c r="K62" s="9" t="b">
        <f>IF(Matiere_premiere[[#This Row],[INVENTAIRE]]&gt;0,TRUE,FALSE)</f>
        <v>0</v>
      </c>
      <c r="L62" s="65"/>
      <c r="M62" s="13" t="s">
        <v>119</v>
      </c>
      <c r="N62" s="13" t="s">
        <v>290</v>
      </c>
      <c r="O62" s="13" t="s">
        <v>287</v>
      </c>
      <c r="P62" s="13" t="s">
        <v>296</v>
      </c>
      <c r="Q62" s="55">
        <v>53005</v>
      </c>
      <c r="R62" s="13" t="s">
        <v>75</v>
      </c>
      <c r="S62" s="14">
        <v>0</v>
      </c>
      <c r="T62" s="14"/>
      <c r="U62" s="14"/>
      <c r="V62" s="14">
        <f>SUM(Matiere_premiere[[#This Row],[INVENTAIRE]],-Matiere_premiere[[#This Row],[Entrée]],-Matiere_premiere[[#This Row],[Sortis]])</f>
        <v>0</v>
      </c>
      <c r="W62" s="50" t="str">
        <f>CONCATENATE(Matiere_premiere[[#This Row],[CODE COLEUR]],"_",Matiere_premiere[[#This Row],[COULEUR]],"_",Matiere_premiere[[#This Row],[CODE FAB]],"_",Matiere_premiere[[#This Row],[Num de Lot]])</f>
        <v>C03_BEIGE _NM05-03.00_53005</v>
      </c>
    </row>
    <row r="63" spans="1:23" ht="19.7" customHeight="1" thickBot="1" x14ac:dyDescent="0.3">
      <c r="A63" s="68"/>
      <c r="B63" s="71"/>
      <c r="C63" s="71"/>
      <c r="D63" s="74"/>
      <c r="E63" s="76"/>
      <c r="F63" s="78"/>
      <c r="G63" s="74"/>
      <c r="H63" s="76"/>
      <c r="I63" s="80"/>
      <c r="J63" s="11" t="str">
        <f>Matiere_premiere[[#This Row],[Entrepot]]</f>
        <v>E2</v>
      </c>
      <c r="K63" s="9" t="b">
        <f>IF(Matiere_premiere[[#This Row],[INVENTAIRE]]&gt;0,TRUE,FALSE)</f>
        <v>1</v>
      </c>
      <c r="L63" s="65"/>
      <c r="M63" s="13" t="s">
        <v>119</v>
      </c>
      <c r="N63" s="13" t="s">
        <v>290</v>
      </c>
      <c r="O63" s="13" t="s">
        <v>287</v>
      </c>
      <c r="P63" s="13" t="s">
        <v>296</v>
      </c>
      <c r="Q63" s="55">
        <v>53005</v>
      </c>
      <c r="R63" s="13" t="s">
        <v>74</v>
      </c>
      <c r="S63" s="14">
        <v>462</v>
      </c>
      <c r="T63" s="14"/>
      <c r="U63" s="14"/>
      <c r="V63" s="14">
        <f>SUM(Matiere_premiere[[#This Row],[INVENTAIRE]],-Matiere_premiere[[#This Row],[Entrée]],-Matiere_premiere[[#This Row],[Sortis]])</f>
        <v>462</v>
      </c>
      <c r="W63" s="50" t="str">
        <f>CONCATENATE(Matiere_premiere[[#This Row],[CODE COLEUR]],"_",Matiere_premiere[[#This Row],[COULEUR]],"_",Matiere_premiere[[#This Row],[CODE FAB]],"_",Matiere_premiere[[#This Row],[Num de Lot]])</f>
        <v>C03_BEIGE _NM05-03.00_53005</v>
      </c>
    </row>
    <row r="64" spans="1:23" ht="19.7" customHeight="1" thickBot="1" x14ac:dyDescent="0.3">
      <c r="A64" s="68"/>
      <c r="B64" s="71"/>
      <c r="C64" s="71"/>
      <c r="D64" s="74"/>
      <c r="E64" s="76"/>
      <c r="F64" s="78"/>
      <c r="G64" s="74"/>
      <c r="H64" s="76"/>
      <c r="I64" s="80"/>
      <c r="J64" s="11" t="str">
        <f>Matiere_premiere[[#This Row],[Entrepot]]</f>
        <v>E3</v>
      </c>
      <c r="K64" s="9" t="b">
        <f>IF(Matiere_premiere[[#This Row],[INVENTAIRE]]&gt;0,TRUE,FALSE)</f>
        <v>0</v>
      </c>
      <c r="L64" s="65"/>
      <c r="M64" s="13" t="s">
        <v>119</v>
      </c>
      <c r="N64" s="13" t="s">
        <v>290</v>
      </c>
      <c r="O64" s="13" t="s">
        <v>287</v>
      </c>
      <c r="P64" s="13" t="s">
        <v>296</v>
      </c>
      <c r="Q64" s="55">
        <v>53005</v>
      </c>
      <c r="R64" s="13" t="s">
        <v>73</v>
      </c>
      <c r="S64" s="14">
        <v>0</v>
      </c>
      <c r="T64" s="14"/>
      <c r="U64" s="14"/>
      <c r="V64" s="14">
        <f>SUM(Matiere_premiere[[#This Row],[INVENTAIRE]],-Matiere_premiere[[#This Row],[Entrée]],-Matiere_premiere[[#This Row],[Sortis]])</f>
        <v>0</v>
      </c>
      <c r="W64" s="50" t="str">
        <f>CONCATENATE(Matiere_premiere[[#This Row],[CODE COLEUR]],"_",Matiere_premiere[[#This Row],[COULEUR]],"_",Matiere_premiere[[#This Row],[CODE FAB]],"_",Matiere_premiere[[#This Row],[Num de Lot]])</f>
        <v>C03_BEIGE _NM05-03.00_53005</v>
      </c>
    </row>
    <row r="65" spans="1:23" ht="19.7" customHeight="1" thickBot="1" x14ac:dyDescent="0.3">
      <c r="A65" s="69"/>
      <c r="B65" s="72"/>
      <c r="C65" s="72"/>
      <c r="D65" s="75"/>
      <c r="E65" s="77"/>
      <c r="F65" s="79"/>
      <c r="G65" s="75"/>
      <c r="H65" s="77"/>
      <c r="I65" s="81"/>
      <c r="J65" s="10" t="str">
        <f>Matiere_premiere[[#This Row],[Entrepot]]</f>
        <v>Usine</v>
      </c>
      <c r="K65" s="9" t="b">
        <f>IF(Matiere_premiere[[#This Row],[INVENTAIRE]]&gt;0,TRUE,FALSE)</f>
        <v>0</v>
      </c>
      <c r="L65" s="66"/>
      <c r="M65" s="13" t="s">
        <v>119</v>
      </c>
      <c r="N65" s="13" t="s">
        <v>290</v>
      </c>
      <c r="O65" s="13" t="s">
        <v>287</v>
      </c>
      <c r="P65" s="13" t="s">
        <v>296</v>
      </c>
      <c r="Q65" s="55">
        <v>53005</v>
      </c>
      <c r="R65" s="13" t="s">
        <v>68</v>
      </c>
      <c r="S65" s="14">
        <v>0</v>
      </c>
      <c r="T65" s="14"/>
      <c r="U65" s="14"/>
      <c r="V65" s="14">
        <f>SUM(Matiere_premiere[[#This Row],[INVENTAIRE]],-Matiere_premiere[[#This Row],[Entrée]],-Matiere_premiere[[#This Row],[Sortis]])</f>
        <v>0</v>
      </c>
      <c r="W65" s="50" t="str">
        <f>CONCATENATE(Matiere_premiere[[#This Row],[CODE COLEUR]],"_",Matiere_premiere[[#This Row],[COULEUR]],"_",Matiere_premiere[[#This Row],[CODE FAB]],"_",Matiere_premiere[[#This Row],[Num de Lot]])</f>
        <v>C03_BEIGE _NM05-03.00_53005</v>
      </c>
    </row>
    <row r="66" spans="1:23" ht="19.7" customHeight="1" thickTop="1" thickBot="1" x14ac:dyDescent="0.3">
      <c r="A66" s="67" t="str">
        <f>Matiere_premiere[[#This Row],[NUMERO METRIQUE]]</f>
        <v>NM05</v>
      </c>
      <c r="B66" s="70" t="str">
        <f>Matiere_premiere[[#This Row],[COULEUR]]</f>
        <v xml:space="preserve">BEIGE </v>
      </c>
      <c r="C66" s="70" t="str">
        <f>Matiere_premiere[[#This Row],[CODE COLEUR]]</f>
        <v>C03</v>
      </c>
      <c r="D66" s="73" t="str">
        <f>Matiere_premiere[[#This Row],[CODE FAB]]</f>
        <v>NM05-03.00</v>
      </c>
      <c r="E66" s="76" t="e" vm="21">
        <f>_xlfn.IMAGE("https://api.qrserver.com/v1/create-qr-code/?size=100x100&amp;data=" &amp; D66)</f>
        <v>#VALUE!</v>
      </c>
      <c r="F66" s="78"/>
      <c r="G66" s="73">
        <f>Matiere_premiere[[#This Row],[Num de Lot]]</f>
        <v>59816</v>
      </c>
      <c r="H66" s="76" t="e" vm="23">
        <f>_xlfn.IMAGE("https://api.qrserver.com/v1/create-qr-code/?size=100x100&amp;data=" &amp; G66)</f>
        <v>#VALUE!</v>
      </c>
      <c r="I66" s="80"/>
      <c r="J66" s="12" t="str">
        <f>Matiere_premiere[[#This Row],[Entrepot]]</f>
        <v>E1</v>
      </c>
      <c r="K66" s="9" t="b">
        <f>IF(Matiere_premiere[[#This Row],[INVENTAIRE]]&gt;0,TRUE,FALSE)</f>
        <v>0</v>
      </c>
      <c r="L66" s="65"/>
      <c r="M66" s="8" t="s">
        <v>119</v>
      </c>
      <c r="N66" s="8" t="s">
        <v>290</v>
      </c>
      <c r="O66" s="8" t="s">
        <v>287</v>
      </c>
      <c r="P66" s="8" t="s">
        <v>296</v>
      </c>
      <c r="Q66" s="53">
        <v>59816</v>
      </c>
      <c r="R66" s="8" t="s">
        <v>75</v>
      </c>
      <c r="S66" s="7">
        <v>0</v>
      </c>
      <c r="T66" s="7"/>
      <c r="U66" s="7"/>
      <c r="V66" s="7">
        <f>SUM(Matiere_premiere[[#This Row],[INVENTAIRE]],-Matiere_premiere[[#This Row],[Entrée]],-Matiere_premiere[[#This Row],[Sortis]])</f>
        <v>0</v>
      </c>
      <c r="W66" s="50" t="str">
        <f>CONCATENATE(Matiere_premiere[[#This Row],[CODE COLEUR]],"_",Matiere_premiere[[#This Row],[COULEUR]],"_",Matiere_premiere[[#This Row],[CODE FAB]],"_",Matiere_premiere[[#This Row],[Num de Lot]])</f>
        <v>C03_BEIGE _NM05-03.00_59816</v>
      </c>
    </row>
    <row r="67" spans="1:23" ht="19.7" customHeight="1" thickBot="1" x14ac:dyDescent="0.3">
      <c r="A67" s="68"/>
      <c r="B67" s="71"/>
      <c r="C67" s="71"/>
      <c r="D67" s="74"/>
      <c r="E67" s="76"/>
      <c r="F67" s="78"/>
      <c r="G67" s="74"/>
      <c r="H67" s="76"/>
      <c r="I67" s="80"/>
      <c r="J67" s="11" t="str">
        <f>Matiere_premiere[[#This Row],[Entrepot]]</f>
        <v>E2</v>
      </c>
      <c r="K67" s="9" t="b">
        <f>IF(Matiere_premiere[[#This Row],[INVENTAIRE]]&gt;0,TRUE,FALSE)</f>
        <v>1</v>
      </c>
      <c r="L67" s="65"/>
      <c r="M67" s="8" t="s">
        <v>119</v>
      </c>
      <c r="N67" s="8" t="s">
        <v>290</v>
      </c>
      <c r="O67" s="8" t="s">
        <v>287</v>
      </c>
      <c r="P67" s="8" t="s">
        <v>296</v>
      </c>
      <c r="Q67" s="53">
        <v>59816</v>
      </c>
      <c r="R67" s="8" t="s">
        <v>74</v>
      </c>
      <c r="S67" s="7">
        <v>945</v>
      </c>
      <c r="T67" s="7"/>
      <c r="U67" s="7"/>
      <c r="V67" s="7">
        <f>SUM(Matiere_premiere[[#This Row],[INVENTAIRE]],-Matiere_premiere[[#This Row],[Entrée]],-Matiere_premiere[[#This Row],[Sortis]])</f>
        <v>945</v>
      </c>
      <c r="W67" s="50" t="str">
        <f>CONCATENATE(Matiere_premiere[[#This Row],[CODE COLEUR]],"_",Matiere_premiere[[#This Row],[COULEUR]],"_",Matiere_premiere[[#This Row],[CODE FAB]],"_",Matiere_premiere[[#This Row],[Num de Lot]])</f>
        <v>C03_BEIGE _NM05-03.00_59816</v>
      </c>
    </row>
    <row r="68" spans="1:23" ht="19.7" customHeight="1" thickBot="1" x14ac:dyDescent="0.3">
      <c r="A68" s="68"/>
      <c r="B68" s="71"/>
      <c r="C68" s="71"/>
      <c r="D68" s="74"/>
      <c r="E68" s="76"/>
      <c r="F68" s="78"/>
      <c r="G68" s="74"/>
      <c r="H68" s="76"/>
      <c r="I68" s="80"/>
      <c r="J68" s="11" t="str">
        <f>Matiere_premiere[[#This Row],[Entrepot]]</f>
        <v>E3</v>
      </c>
      <c r="K68" s="9" t="b">
        <f>IF(Matiere_premiere[[#This Row],[INVENTAIRE]]&gt;0,TRUE,FALSE)</f>
        <v>1</v>
      </c>
      <c r="L68" s="65"/>
      <c r="M68" s="8" t="s">
        <v>119</v>
      </c>
      <c r="N68" s="8" t="s">
        <v>290</v>
      </c>
      <c r="O68" s="8" t="s">
        <v>287</v>
      </c>
      <c r="P68" s="8" t="s">
        <v>296</v>
      </c>
      <c r="Q68" s="53">
        <v>59816</v>
      </c>
      <c r="R68" s="8" t="s">
        <v>73</v>
      </c>
      <c r="S68" s="7">
        <v>598.5</v>
      </c>
      <c r="T68" s="7"/>
      <c r="U68" s="7"/>
      <c r="V68" s="7">
        <f>SUM(Matiere_premiere[[#This Row],[INVENTAIRE]],-Matiere_premiere[[#This Row],[Entrée]],-Matiere_premiere[[#This Row],[Sortis]])</f>
        <v>598.5</v>
      </c>
      <c r="W68" s="50" t="str">
        <f>CONCATENATE(Matiere_premiere[[#This Row],[CODE COLEUR]],"_",Matiere_premiere[[#This Row],[COULEUR]],"_",Matiere_premiere[[#This Row],[CODE FAB]],"_",Matiere_premiere[[#This Row],[Num de Lot]])</f>
        <v>C03_BEIGE _NM05-03.00_59816</v>
      </c>
    </row>
    <row r="69" spans="1:23" ht="19.7" customHeight="1" thickBot="1" x14ac:dyDescent="0.3">
      <c r="A69" s="69"/>
      <c r="B69" s="72"/>
      <c r="C69" s="72"/>
      <c r="D69" s="75"/>
      <c r="E69" s="77"/>
      <c r="F69" s="79"/>
      <c r="G69" s="75"/>
      <c r="H69" s="77"/>
      <c r="I69" s="81"/>
      <c r="J69" s="10" t="str">
        <f>Matiere_premiere[[#This Row],[Entrepot]]</f>
        <v>Usine</v>
      </c>
      <c r="K69" s="9" t="b">
        <f>IF(Matiere_premiere[[#This Row],[INVENTAIRE]]&gt;0,TRUE,FALSE)</f>
        <v>0</v>
      </c>
      <c r="L69" s="66"/>
      <c r="M69" s="8" t="s">
        <v>119</v>
      </c>
      <c r="N69" s="8" t="s">
        <v>290</v>
      </c>
      <c r="O69" s="8" t="s">
        <v>287</v>
      </c>
      <c r="P69" s="8" t="s">
        <v>296</v>
      </c>
      <c r="Q69" s="53">
        <v>59816</v>
      </c>
      <c r="R69" s="8" t="s">
        <v>68</v>
      </c>
      <c r="S69" s="7">
        <v>0</v>
      </c>
      <c r="T69" s="7"/>
      <c r="U69" s="7"/>
      <c r="V69" s="7">
        <f>SUM(Matiere_premiere[[#This Row],[INVENTAIRE]],-Matiere_premiere[[#This Row],[Entrée]],-Matiere_premiere[[#This Row],[Sortis]])</f>
        <v>0</v>
      </c>
      <c r="W69" s="50" t="str">
        <f>CONCATENATE(Matiere_premiere[[#This Row],[CODE COLEUR]],"_",Matiere_premiere[[#This Row],[COULEUR]],"_",Matiere_premiere[[#This Row],[CODE FAB]],"_",Matiere_premiere[[#This Row],[Num de Lot]])</f>
        <v>C03_BEIGE _NM05-03.00_59816</v>
      </c>
    </row>
    <row r="70" spans="1:23" ht="19.7" customHeight="1" thickTop="1" thickBot="1" x14ac:dyDescent="0.3">
      <c r="A70" s="67" t="str">
        <f>Matiere_premiere[[#This Row],[NUMERO METRIQUE]]</f>
        <v>NM05</v>
      </c>
      <c r="B70" s="70" t="str">
        <f>Matiere_premiere[[#This Row],[COULEUR]]</f>
        <v>BEIGE CLAIR</v>
      </c>
      <c r="C70" s="70" t="str">
        <f>Matiere_premiere[[#This Row],[CODE COLEUR]]</f>
        <v>C03</v>
      </c>
      <c r="D70" s="73" t="str">
        <f>Matiere_premiere[[#This Row],[CODE FAB]]</f>
        <v>NM05-03.01</v>
      </c>
      <c r="E70" s="76" t="e" vm="24">
        <f>_xlfn.IMAGE("https://api.qrserver.com/v1/create-qr-code/?size=100x100&amp;data=" &amp; D70)</f>
        <v>#VALUE!</v>
      </c>
      <c r="F70" s="78"/>
      <c r="G70" s="73">
        <f>Matiere_premiere[[#This Row],[Num de Lot]]</f>
        <v>58783</v>
      </c>
      <c r="H70" s="76" t="e" vm="25">
        <f>_xlfn.IMAGE("https://api.qrserver.com/v1/create-qr-code/?size=100x100&amp;data=" &amp; G70)</f>
        <v>#VALUE!</v>
      </c>
      <c r="I70" s="80"/>
      <c r="J70" s="12" t="str">
        <f>Matiere_premiere[[#This Row],[Entrepot]]</f>
        <v>E1</v>
      </c>
      <c r="K70" s="9" t="b">
        <f>IF(Matiere_premiere[[#This Row],[INVENTAIRE]]&gt;0,TRUE,FALSE)</f>
        <v>0</v>
      </c>
      <c r="L70" s="65"/>
      <c r="M70" s="13" t="s">
        <v>119</v>
      </c>
      <c r="N70" s="13" t="s">
        <v>293</v>
      </c>
      <c r="O70" s="13" t="s">
        <v>287</v>
      </c>
      <c r="P70" s="13" t="s">
        <v>295</v>
      </c>
      <c r="Q70" s="55">
        <v>58783</v>
      </c>
      <c r="R70" s="13" t="s">
        <v>75</v>
      </c>
      <c r="S70" s="14">
        <v>0</v>
      </c>
      <c r="T70" s="14"/>
      <c r="U70" s="14"/>
      <c r="V70" s="14">
        <f>SUM(Matiere_premiere[[#This Row],[INVENTAIRE]],-Matiere_premiere[[#This Row],[Entrée]],-Matiere_premiere[[#This Row],[Sortis]])</f>
        <v>0</v>
      </c>
      <c r="W70" s="50" t="str">
        <f>CONCATENATE(Matiere_premiere[[#This Row],[CODE COLEUR]],"_",Matiere_premiere[[#This Row],[COULEUR]],"_",Matiere_premiere[[#This Row],[CODE FAB]],"_",Matiere_premiere[[#This Row],[Num de Lot]])</f>
        <v>C03_BEIGE CLAIR_NM05-03.01_58783</v>
      </c>
    </row>
    <row r="71" spans="1:23" ht="19.7" customHeight="1" thickBot="1" x14ac:dyDescent="0.3">
      <c r="A71" s="68"/>
      <c r="B71" s="71"/>
      <c r="C71" s="71"/>
      <c r="D71" s="74"/>
      <c r="E71" s="76"/>
      <c r="F71" s="78"/>
      <c r="G71" s="74"/>
      <c r="H71" s="76"/>
      <c r="I71" s="80"/>
      <c r="J71" s="11" t="str">
        <f>Matiere_premiere[[#This Row],[Entrepot]]</f>
        <v>E2</v>
      </c>
      <c r="K71" s="9" t="b">
        <f>IF(Matiere_premiere[[#This Row],[INVENTAIRE]]&gt;0,TRUE,FALSE)</f>
        <v>1</v>
      </c>
      <c r="L71" s="65"/>
      <c r="M71" s="13" t="s">
        <v>119</v>
      </c>
      <c r="N71" s="13" t="s">
        <v>293</v>
      </c>
      <c r="O71" s="13" t="s">
        <v>287</v>
      </c>
      <c r="P71" s="13" t="s">
        <v>295</v>
      </c>
      <c r="Q71" s="55">
        <v>58783</v>
      </c>
      <c r="R71" s="13" t="s">
        <v>74</v>
      </c>
      <c r="S71" s="14">
        <v>808.5</v>
      </c>
      <c r="T71" s="14"/>
      <c r="U71" s="14"/>
      <c r="V71" s="14">
        <f>SUM(Matiere_premiere[[#This Row],[INVENTAIRE]],-Matiere_premiere[[#This Row],[Entrée]],-Matiere_premiere[[#This Row],[Sortis]])</f>
        <v>808.5</v>
      </c>
      <c r="W71" s="50" t="str">
        <f>CONCATENATE(Matiere_premiere[[#This Row],[CODE COLEUR]],"_",Matiere_premiere[[#This Row],[COULEUR]],"_",Matiere_premiere[[#This Row],[CODE FAB]],"_",Matiere_premiere[[#This Row],[Num de Lot]])</f>
        <v>C03_BEIGE CLAIR_NM05-03.01_58783</v>
      </c>
    </row>
    <row r="72" spans="1:23" ht="19.7" customHeight="1" thickBot="1" x14ac:dyDescent="0.3">
      <c r="A72" s="68"/>
      <c r="B72" s="71"/>
      <c r="C72" s="71"/>
      <c r="D72" s="74"/>
      <c r="E72" s="76"/>
      <c r="F72" s="78"/>
      <c r="G72" s="74"/>
      <c r="H72" s="76"/>
      <c r="I72" s="80"/>
      <c r="J72" s="11" t="str">
        <f>Matiere_premiere[[#This Row],[Entrepot]]</f>
        <v>E3</v>
      </c>
      <c r="K72" s="9" t="b">
        <f>IF(Matiere_premiere[[#This Row],[INVENTAIRE]]&gt;0,TRUE,FALSE)</f>
        <v>0</v>
      </c>
      <c r="L72" s="65"/>
      <c r="M72" s="13" t="s">
        <v>119</v>
      </c>
      <c r="N72" s="13" t="s">
        <v>293</v>
      </c>
      <c r="O72" s="13" t="s">
        <v>287</v>
      </c>
      <c r="P72" s="13" t="s">
        <v>295</v>
      </c>
      <c r="Q72" s="55">
        <v>58783</v>
      </c>
      <c r="R72" s="13" t="s">
        <v>73</v>
      </c>
      <c r="S72" s="14">
        <v>0</v>
      </c>
      <c r="T72" s="14"/>
      <c r="U72" s="14"/>
      <c r="V72" s="14">
        <f>SUM(Matiere_premiere[[#This Row],[INVENTAIRE]],-Matiere_premiere[[#This Row],[Entrée]],-Matiere_premiere[[#This Row],[Sortis]])</f>
        <v>0</v>
      </c>
      <c r="W72" s="50" t="str">
        <f>CONCATENATE(Matiere_premiere[[#This Row],[CODE COLEUR]],"_",Matiere_premiere[[#This Row],[COULEUR]],"_",Matiere_premiere[[#This Row],[CODE FAB]],"_",Matiere_premiere[[#This Row],[Num de Lot]])</f>
        <v>C03_BEIGE CLAIR_NM05-03.01_58783</v>
      </c>
    </row>
    <row r="73" spans="1:23" ht="19.7" customHeight="1" thickBot="1" x14ac:dyDescent="0.3">
      <c r="A73" s="69"/>
      <c r="B73" s="72"/>
      <c r="C73" s="72"/>
      <c r="D73" s="75"/>
      <c r="E73" s="77"/>
      <c r="F73" s="79"/>
      <c r="G73" s="75"/>
      <c r="H73" s="77"/>
      <c r="I73" s="81"/>
      <c r="J73" s="10" t="str">
        <f>Matiere_premiere[[#This Row],[Entrepot]]</f>
        <v>Usine</v>
      </c>
      <c r="K73" s="9" t="b">
        <f>IF(Matiere_premiere[[#This Row],[INVENTAIRE]]&gt;0,TRUE,FALSE)</f>
        <v>1</v>
      </c>
      <c r="L73" s="66"/>
      <c r="M73" s="13" t="s">
        <v>119</v>
      </c>
      <c r="N73" s="13" t="s">
        <v>293</v>
      </c>
      <c r="O73" s="13" t="s">
        <v>287</v>
      </c>
      <c r="P73" s="13" t="s">
        <v>295</v>
      </c>
      <c r="Q73" s="55">
        <v>58783</v>
      </c>
      <c r="R73" s="13" t="s">
        <v>68</v>
      </c>
      <c r="S73" s="14">
        <v>147</v>
      </c>
      <c r="T73" s="14"/>
      <c r="U73" s="14"/>
      <c r="V73" s="14">
        <f>SUM(Matiere_premiere[[#This Row],[INVENTAIRE]],-Matiere_premiere[[#This Row],[Entrée]],-Matiere_premiere[[#This Row],[Sortis]])</f>
        <v>147</v>
      </c>
      <c r="W73" s="50" t="str">
        <f>CONCATENATE(Matiere_premiere[[#This Row],[CODE COLEUR]],"_",Matiere_premiere[[#This Row],[COULEUR]],"_",Matiere_premiere[[#This Row],[CODE FAB]],"_",Matiere_premiere[[#This Row],[Num de Lot]])</f>
        <v>C03_BEIGE CLAIR_NM05-03.01_58783</v>
      </c>
    </row>
    <row r="74" spans="1:23" ht="19.7" customHeight="1" thickTop="1" thickBot="1" x14ac:dyDescent="0.3">
      <c r="A74" s="67" t="str">
        <f>Matiere_premiere[[#This Row],[NUMERO METRIQUE]]</f>
        <v>NM05</v>
      </c>
      <c r="B74" s="70" t="str">
        <f>Matiere_premiere[[#This Row],[COULEUR]]</f>
        <v>BEIGE CLAIR</v>
      </c>
      <c r="C74" s="70" t="str">
        <f>Matiere_premiere[[#This Row],[CODE COLEUR]]</f>
        <v>C03</v>
      </c>
      <c r="D74" s="73" t="str">
        <f>Matiere_premiere[[#This Row],[CODE FAB]]</f>
        <v>NM05-03.02</v>
      </c>
      <c r="E74" s="76" t="e" vm="26">
        <f>_xlfn.IMAGE("https://api.qrserver.com/v1/create-qr-code/?size=100x100&amp;data=" &amp; D74)</f>
        <v>#VALUE!</v>
      </c>
      <c r="F74" s="78"/>
      <c r="G74" s="73" t="str">
        <f>Matiere_premiere[[#This Row],[Num de Lot]]</f>
        <v>S2023</v>
      </c>
      <c r="H74" s="76" t="e" vm="2">
        <f>_xlfn.IMAGE("https://api.qrserver.com/v1/create-qr-code/?size=100x100&amp;data=" &amp; G74)</f>
        <v>#VALUE!</v>
      </c>
      <c r="I74" s="80"/>
      <c r="J74" s="12" t="str">
        <f>Matiere_premiere[[#This Row],[Entrepot]]</f>
        <v>E1</v>
      </c>
      <c r="K74" s="9" t="b">
        <f>IF(Matiere_premiere[[#This Row],[INVENTAIRE]]&gt;0,TRUE,FALSE)</f>
        <v>0</v>
      </c>
      <c r="L74" s="65"/>
      <c r="M74" s="8" t="s">
        <v>119</v>
      </c>
      <c r="N74" s="8" t="s">
        <v>293</v>
      </c>
      <c r="O74" s="8" t="s">
        <v>287</v>
      </c>
      <c r="P74" s="8" t="s">
        <v>294</v>
      </c>
      <c r="Q74" s="53" t="s">
        <v>69</v>
      </c>
      <c r="R74" s="8" t="s">
        <v>75</v>
      </c>
      <c r="S74" s="7">
        <v>0</v>
      </c>
      <c r="T74" s="7"/>
      <c r="U74" s="7"/>
      <c r="V74" s="7">
        <f>SUM(Matiere_premiere[[#This Row],[INVENTAIRE]],-Matiere_premiere[[#This Row],[Entrée]],-Matiere_premiere[[#This Row],[Sortis]])</f>
        <v>0</v>
      </c>
      <c r="W74" s="50" t="str">
        <f>CONCATENATE(Matiere_premiere[[#This Row],[CODE COLEUR]],"_",Matiere_premiere[[#This Row],[COULEUR]],"_",Matiere_premiere[[#This Row],[CODE FAB]],"_",Matiere_premiere[[#This Row],[Num de Lot]])</f>
        <v>C03_BEIGE CLAIR_NM05-03.02_S2023</v>
      </c>
    </row>
    <row r="75" spans="1:23" ht="19.7" customHeight="1" thickBot="1" x14ac:dyDescent="0.3">
      <c r="A75" s="68"/>
      <c r="B75" s="71"/>
      <c r="C75" s="71"/>
      <c r="D75" s="74"/>
      <c r="E75" s="76"/>
      <c r="F75" s="78"/>
      <c r="G75" s="74"/>
      <c r="H75" s="76"/>
      <c r="I75" s="80"/>
      <c r="J75" s="11" t="str">
        <f>Matiere_premiere[[#This Row],[Entrepot]]</f>
        <v>E2</v>
      </c>
      <c r="K75" s="9" t="b">
        <f>IF(Matiere_premiere[[#This Row],[INVENTAIRE]]&gt;0,TRUE,FALSE)</f>
        <v>0</v>
      </c>
      <c r="L75" s="65"/>
      <c r="M75" s="8" t="s">
        <v>119</v>
      </c>
      <c r="N75" s="8" t="s">
        <v>293</v>
      </c>
      <c r="O75" s="8" t="s">
        <v>287</v>
      </c>
      <c r="P75" s="8" t="s">
        <v>294</v>
      </c>
      <c r="Q75" s="53" t="s">
        <v>69</v>
      </c>
      <c r="R75" s="8" t="s">
        <v>74</v>
      </c>
      <c r="S75" s="7">
        <v>0</v>
      </c>
      <c r="T75" s="7"/>
      <c r="U75" s="7"/>
      <c r="V75" s="7">
        <f>SUM(Matiere_premiere[[#This Row],[INVENTAIRE]],-Matiere_premiere[[#This Row],[Entrée]],-Matiere_premiere[[#This Row],[Sortis]])</f>
        <v>0</v>
      </c>
      <c r="W75" s="50" t="str">
        <f>CONCATENATE(Matiere_premiere[[#This Row],[CODE COLEUR]],"_",Matiere_premiere[[#This Row],[COULEUR]],"_",Matiere_premiere[[#This Row],[CODE FAB]],"_",Matiere_premiere[[#This Row],[Num de Lot]])</f>
        <v>C03_BEIGE CLAIR_NM05-03.02_S2023</v>
      </c>
    </row>
    <row r="76" spans="1:23" ht="18" customHeight="1" thickBot="1" x14ac:dyDescent="0.3">
      <c r="A76" s="68"/>
      <c r="B76" s="71"/>
      <c r="C76" s="71"/>
      <c r="D76" s="74"/>
      <c r="E76" s="76"/>
      <c r="F76" s="78"/>
      <c r="G76" s="74"/>
      <c r="H76" s="76"/>
      <c r="I76" s="80"/>
      <c r="J76" s="11" t="str">
        <f>Matiere_premiere[[#This Row],[Entrepot]]</f>
        <v>E3</v>
      </c>
      <c r="K76" s="9" t="b">
        <f>IF(Matiere_premiere[[#This Row],[INVENTAIRE]]&gt;0,TRUE,FALSE)</f>
        <v>0</v>
      </c>
      <c r="L76" s="65"/>
      <c r="M76" s="8" t="s">
        <v>119</v>
      </c>
      <c r="N76" s="8" t="s">
        <v>293</v>
      </c>
      <c r="O76" s="8" t="s">
        <v>287</v>
      </c>
      <c r="P76" s="8" t="s">
        <v>294</v>
      </c>
      <c r="Q76" s="53" t="s">
        <v>69</v>
      </c>
      <c r="R76" s="8" t="s">
        <v>73</v>
      </c>
      <c r="S76" s="7">
        <v>0</v>
      </c>
      <c r="T76" s="7"/>
      <c r="U76" s="7"/>
      <c r="V76" s="7">
        <f>SUM(Matiere_premiere[[#This Row],[INVENTAIRE]],-Matiere_premiere[[#This Row],[Entrée]],-Matiere_premiere[[#This Row],[Sortis]])</f>
        <v>0</v>
      </c>
      <c r="W76" s="50" t="str">
        <f>CONCATENATE(Matiere_premiere[[#This Row],[CODE COLEUR]],"_",Matiere_premiere[[#This Row],[COULEUR]],"_",Matiere_premiere[[#This Row],[CODE FAB]],"_",Matiere_premiere[[#This Row],[Num de Lot]])</f>
        <v>C03_BEIGE CLAIR_NM05-03.02_S2023</v>
      </c>
    </row>
    <row r="77" spans="1:23" ht="19.7" customHeight="1" thickBot="1" x14ac:dyDescent="0.3">
      <c r="A77" s="69"/>
      <c r="B77" s="72"/>
      <c r="C77" s="72"/>
      <c r="D77" s="75"/>
      <c r="E77" s="77"/>
      <c r="F77" s="79"/>
      <c r="G77" s="75"/>
      <c r="H77" s="77"/>
      <c r="I77" s="81"/>
      <c r="J77" s="10" t="str">
        <f>Matiere_premiere[[#This Row],[Entrepot]]</f>
        <v>Usine</v>
      </c>
      <c r="K77" s="9" t="b">
        <f>IF(Matiere_premiere[[#This Row],[INVENTAIRE]]&gt;0,TRUE,FALSE)</f>
        <v>0</v>
      </c>
      <c r="L77" s="66"/>
      <c r="M77" s="8" t="s">
        <v>119</v>
      </c>
      <c r="N77" s="8" t="s">
        <v>293</v>
      </c>
      <c r="O77" s="8" t="s">
        <v>287</v>
      </c>
      <c r="P77" s="8" t="s">
        <v>294</v>
      </c>
      <c r="Q77" s="53" t="s">
        <v>69</v>
      </c>
      <c r="R77" s="8" t="s">
        <v>68</v>
      </c>
      <c r="S77" s="7">
        <v>0</v>
      </c>
      <c r="T77" s="7"/>
      <c r="U77" s="7"/>
      <c r="V77" s="7">
        <f>SUM(Matiere_premiere[[#This Row],[INVENTAIRE]],-Matiere_premiere[[#This Row],[Entrée]],-Matiere_premiere[[#This Row],[Sortis]])</f>
        <v>0</v>
      </c>
      <c r="W77" s="50" t="str">
        <f>CONCATENATE(Matiere_premiere[[#This Row],[CODE COLEUR]],"_",Matiere_premiere[[#This Row],[COULEUR]],"_",Matiere_premiere[[#This Row],[CODE FAB]],"_",Matiere_premiere[[#This Row],[Num de Lot]])</f>
        <v>C03_BEIGE CLAIR_NM05-03.02_S2023</v>
      </c>
    </row>
    <row r="78" spans="1:23" ht="19.7" customHeight="1" thickTop="1" thickBot="1" x14ac:dyDescent="0.3">
      <c r="A78" s="67" t="str">
        <f>Matiere_premiere[[#This Row],[NUMERO METRIQUE]]</f>
        <v>NM05</v>
      </c>
      <c r="B78" s="70" t="str">
        <f>Matiere_premiere[[#This Row],[COULEUR]]</f>
        <v>BEIGE CLAIR</v>
      </c>
      <c r="C78" s="70" t="str">
        <f>Matiere_premiere[[#This Row],[CODE COLEUR]]</f>
        <v>C03</v>
      </c>
      <c r="D78" s="73" t="str">
        <f>Matiere_premiere[[#This Row],[CODE FAB]]</f>
        <v>NM05-03.03</v>
      </c>
      <c r="E78" s="76" t="e" vm="27">
        <f>_xlfn.IMAGE("https://api.qrserver.com/v1/create-qr-code/?size=100x100&amp;data=" &amp; D78)</f>
        <v>#VALUE!</v>
      </c>
      <c r="F78" s="78"/>
      <c r="G78" s="73">
        <f>Matiere_premiere[[#This Row],[Num de Lot]]</f>
        <v>59648</v>
      </c>
      <c r="H78" s="76" t="e" vm="28">
        <f>_xlfn.IMAGE("https://api.qrserver.com/v1/create-qr-code/?size=100x100&amp;data=" &amp; G78)</f>
        <v>#VALUE!</v>
      </c>
      <c r="I78" s="80"/>
      <c r="J78" s="12" t="str">
        <f>Matiere_premiere[[#This Row],[Entrepot]]</f>
        <v>E1</v>
      </c>
      <c r="K78" s="9" t="b">
        <f>IF(Matiere_premiere[[#This Row],[INVENTAIRE]]&gt;0,TRUE,FALSE)</f>
        <v>0</v>
      </c>
      <c r="L78" s="65"/>
      <c r="M78" s="13" t="s">
        <v>119</v>
      </c>
      <c r="N78" s="13" t="s">
        <v>293</v>
      </c>
      <c r="O78" s="13" t="s">
        <v>287</v>
      </c>
      <c r="P78" s="13" t="s">
        <v>292</v>
      </c>
      <c r="Q78" s="55">
        <v>59648</v>
      </c>
      <c r="R78" s="13" t="s">
        <v>75</v>
      </c>
      <c r="S78" s="14">
        <v>0</v>
      </c>
      <c r="T78" s="14"/>
      <c r="U78" s="14"/>
      <c r="V78" s="14">
        <f>SUM(Matiere_premiere[[#This Row],[INVENTAIRE]],-Matiere_premiere[[#This Row],[Entrée]],-Matiere_premiere[[#This Row],[Sortis]])</f>
        <v>0</v>
      </c>
      <c r="W78" s="50" t="str">
        <f>CONCATENATE(Matiere_premiere[[#This Row],[CODE COLEUR]],"_",Matiere_premiere[[#This Row],[COULEUR]],"_",Matiere_premiere[[#This Row],[CODE FAB]],"_",Matiere_premiere[[#This Row],[Num de Lot]])</f>
        <v>C03_BEIGE CLAIR_NM05-03.03_59648</v>
      </c>
    </row>
    <row r="79" spans="1:23" ht="19.7" customHeight="1" thickBot="1" x14ac:dyDescent="0.3">
      <c r="A79" s="68"/>
      <c r="B79" s="71"/>
      <c r="C79" s="71"/>
      <c r="D79" s="74"/>
      <c r="E79" s="76"/>
      <c r="F79" s="78"/>
      <c r="G79" s="74"/>
      <c r="H79" s="76"/>
      <c r="I79" s="80"/>
      <c r="J79" s="11" t="str">
        <f>Matiere_premiere[[#This Row],[Entrepot]]</f>
        <v>E2</v>
      </c>
      <c r="K79" s="9" t="b">
        <f>IF(Matiere_premiere[[#This Row],[INVENTAIRE]]&gt;0,TRUE,FALSE)</f>
        <v>0</v>
      </c>
      <c r="L79" s="65"/>
      <c r="M79" s="13" t="s">
        <v>119</v>
      </c>
      <c r="N79" s="13" t="s">
        <v>293</v>
      </c>
      <c r="O79" s="13" t="s">
        <v>287</v>
      </c>
      <c r="P79" s="13" t="s">
        <v>292</v>
      </c>
      <c r="Q79" s="55">
        <v>59648</v>
      </c>
      <c r="R79" s="13" t="s">
        <v>74</v>
      </c>
      <c r="S79" s="14">
        <v>0</v>
      </c>
      <c r="T79" s="14"/>
      <c r="U79" s="14"/>
      <c r="V79" s="14">
        <f>SUM(Matiere_premiere[[#This Row],[INVENTAIRE]],-Matiere_premiere[[#This Row],[Entrée]],-Matiere_premiere[[#This Row],[Sortis]])</f>
        <v>0</v>
      </c>
      <c r="W79" s="50" t="str">
        <f>CONCATENATE(Matiere_premiere[[#This Row],[CODE COLEUR]],"_",Matiere_premiere[[#This Row],[COULEUR]],"_",Matiere_premiere[[#This Row],[CODE FAB]],"_",Matiere_premiere[[#This Row],[Num de Lot]])</f>
        <v>C03_BEIGE CLAIR_NM05-03.03_59648</v>
      </c>
    </row>
    <row r="80" spans="1:23" ht="19.7" customHeight="1" thickBot="1" x14ac:dyDescent="0.3">
      <c r="A80" s="68"/>
      <c r="B80" s="71"/>
      <c r="C80" s="71"/>
      <c r="D80" s="74"/>
      <c r="E80" s="76"/>
      <c r="F80" s="78"/>
      <c r="G80" s="74"/>
      <c r="H80" s="76"/>
      <c r="I80" s="80"/>
      <c r="J80" s="11" t="str">
        <f>Matiere_premiere[[#This Row],[Entrepot]]</f>
        <v>E3</v>
      </c>
      <c r="K80" s="9" t="b">
        <f>IF(Matiere_premiere[[#This Row],[INVENTAIRE]]&gt;0,TRUE,FALSE)</f>
        <v>0</v>
      </c>
      <c r="L80" s="65"/>
      <c r="M80" s="13" t="s">
        <v>119</v>
      </c>
      <c r="N80" s="13" t="s">
        <v>293</v>
      </c>
      <c r="O80" s="13" t="s">
        <v>287</v>
      </c>
      <c r="P80" s="13" t="s">
        <v>292</v>
      </c>
      <c r="Q80" s="55">
        <v>59648</v>
      </c>
      <c r="R80" s="13" t="s">
        <v>73</v>
      </c>
      <c r="S80" s="14">
        <v>0</v>
      </c>
      <c r="T80" s="14"/>
      <c r="U80" s="14"/>
      <c r="V80" s="14">
        <f>SUM(Matiere_premiere[[#This Row],[INVENTAIRE]],-Matiere_premiere[[#This Row],[Entrée]],-Matiere_premiere[[#This Row],[Sortis]])</f>
        <v>0</v>
      </c>
      <c r="W80" s="50" t="str">
        <f>CONCATENATE(Matiere_premiere[[#This Row],[CODE COLEUR]],"_",Matiere_premiere[[#This Row],[COULEUR]],"_",Matiere_premiere[[#This Row],[CODE FAB]],"_",Matiere_premiere[[#This Row],[Num de Lot]])</f>
        <v>C03_BEIGE CLAIR_NM05-03.03_59648</v>
      </c>
    </row>
    <row r="81" spans="1:23" ht="19.7" customHeight="1" thickBot="1" x14ac:dyDescent="0.3">
      <c r="A81" s="69"/>
      <c r="B81" s="72"/>
      <c r="C81" s="72"/>
      <c r="D81" s="75"/>
      <c r="E81" s="77"/>
      <c r="F81" s="79"/>
      <c r="G81" s="75"/>
      <c r="H81" s="77"/>
      <c r="I81" s="81"/>
      <c r="J81" s="10" t="str">
        <f>Matiere_premiere[[#This Row],[Entrepot]]</f>
        <v>Usine</v>
      </c>
      <c r="K81" s="9" t="b">
        <f>IF(Matiere_premiere[[#This Row],[INVENTAIRE]]&gt;0,TRUE,FALSE)</f>
        <v>1</v>
      </c>
      <c r="L81" s="66"/>
      <c r="M81" s="13" t="s">
        <v>119</v>
      </c>
      <c r="N81" s="13" t="s">
        <v>293</v>
      </c>
      <c r="O81" s="13" t="s">
        <v>287</v>
      </c>
      <c r="P81" s="13" t="s">
        <v>292</v>
      </c>
      <c r="Q81" s="55">
        <v>59648</v>
      </c>
      <c r="R81" s="13" t="s">
        <v>68</v>
      </c>
      <c r="S81" s="14">
        <v>147.05000000000001</v>
      </c>
      <c r="T81" s="14"/>
      <c r="U81" s="14"/>
      <c r="V81" s="14">
        <f>SUM(Matiere_premiere[[#This Row],[INVENTAIRE]],-Matiere_premiere[[#This Row],[Entrée]],-Matiere_premiere[[#This Row],[Sortis]])</f>
        <v>147.05000000000001</v>
      </c>
      <c r="W81" s="50" t="str">
        <f>CONCATENATE(Matiere_premiere[[#This Row],[CODE COLEUR]],"_",Matiere_premiere[[#This Row],[COULEUR]],"_",Matiere_premiere[[#This Row],[CODE FAB]],"_",Matiere_premiere[[#This Row],[Num de Lot]])</f>
        <v>C03_BEIGE CLAIR_NM05-03.03_59648</v>
      </c>
    </row>
    <row r="82" spans="1:23" ht="19.7" customHeight="1" thickTop="1" thickBot="1" x14ac:dyDescent="0.3">
      <c r="A82" s="67" t="str">
        <f>Matiere_premiere[[#This Row],[NUMERO METRIQUE]]</f>
        <v>NM15</v>
      </c>
      <c r="B82" s="70" t="str">
        <f>Matiere_premiere[[#This Row],[COULEUR]]</f>
        <v>BEIGE CLAIRE</v>
      </c>
      <c r="C82" s="70" t="str">
        <f>Matiere_premiere[[#This Row],[CODE COLEUR]]</f>
        <v>C03</v>
      </c>
      <c r="D82" s="73" t="str">
        <f>Matiere_premiere[[#This Row],[CODE FAB]]</f>
        <v>NM15-03.00</v>
      </c>
      <c r="E82" s="76" t="e" vm="29">
        <f>_xlfn.IMAGE("https://api.qrserver.com/v1/create-qr-code/?size=100x100&amp;data=" &amp; D82)</f>
        <v>#VALUE!</v>
      </c>
      <c r="F82" s="78"/>
      <c r="G82" s="73">
        <f>Matiere_premiere[[#This Row],[Num de Lot]]</f>
        <v>61559</v>
      </c>
      <c r="H82" s="76" t="e" vm="30">
        <f>_xlfn.IMAGE("https://api.qrserver.com/v1/create-qr-code/?size=100x100&amp;data=" &amp; G82)</f>
        <v>#VALUE!</v>
      </c>
      <c r="I82" s="80"/>
      <c r="J82" s="12" t="str">
        <f>Matiere_premiere[[#This Row],[Entrepot]]</f>
        <v>E1</v>
      </c>
      <c r="K82" s="9" t="b">
        <f>IF(Matiere_premiere[[#This Row],[INVENTAIRE]]&gt;0,TRUE,FALSE)</f>
        <v>0</v>
      </c>
      <c r="L82" s="65"/>
      <c r="M82" s="8" t="s">
        <v>103</v>
      </c>
      <c r="N82" s="8" t="s">
        <v>288</v>
      </c>
      <c r="O82" s="8" t="s">
        <v>287</v>
      </c>
      <c r="P82" s="8" t="s">
        <v>291</v>
      </c>
      <c r="Q82" s="53">
        <v>61559</v>
      </c>
      <c r="R82" s="8" t="s">
        <v>75</v>
      </c>
      <c r="S82" s="7">
        <v>0</v>
      </c>
      <c r="T82" s="7"/>
      <c r="U82" s="7"/>
      <c r="V82" s="7">
        <f>SUM(Matiere_premiere[[#This Row],[INVENTAIRE]],-Matiere_premiere[[#This Row],[Entrée]],-Matiere_premiere[[#This Row],[Sortis]])</f>
        <v>0</v>
      </c>
      <c r="W82" s="50" t="str">
        <f>CONCATENATE(Matiere_premiere[[#This Row],[CODE COLEUR]],"_",Matiere_premiere[[#This Row],[COULEUR]],"_",Matiere_premiere[[#This Row],[CODE FAB]],"_",Matiere_premiere[[#This Row],[Num de Lot]])</f>
        <v>C03_BEIGE CLAIRE_NM15-03.00_61559</v>
      </c>
    </row>
    <row r="83" spans="1:23" ht="19.7" customHeight="1" thickBot="1" x14ac:dyDescent="0.3">
      <c r="A83" s="68"/>
      <c r="B83" s="71"/>
      <c r="C83" s="71"/>
      <c r="D83" s="74"/>
      <c r="E83" s="76"/>
      <c r="F83" s="78"/>
      <c r="G83" s="74"/>
      <c r="H83" s="76"/>
      <c r="I83" s="80"/>
      <c r="J83" s="11" t="str">
        <f>Matiere_premiere[[#This Row],[Entrepot]]</f>
        <v>E2</v>
      </c>
      <c r="K83" s="9" t="b">
        <f>IF(Matiere_premiere[[#This Row],[INVENTAIRE]]&gt;0,TRUE,FALSE)</f>
        <v>0</v>
      </c>
      <c r="L83" s="65"/>
      <c r="M83" s="8" t="s">
        <v>103</v>
      </c>
      <c r="N83" s="8" t="s">
        <v>288</v>
      </c>
      <c r="O83" s="8" t="s">
        <v>287</v>
      </c>
      <c r="P83" s="8" t="s">
        <v>291</v>
      </c>
      <c r="Q83" s="53">
        <v>61559</v>
      </c>
      <c r="R83" s="8" t="s">
        <v>74</v>
      </c>
      <c r="S83" s="7">
        <v>0</v>
      </c>
      <c r="T83" s="7"/>
      <c r="U83" s="7"/>
      <c r="V83" s="7">
        <f>SUM(Matiere_premiere[[#This Row],[INVENTAIRE]],-Matiere_premiere[[#This Row],[Entrée]],-Matiere_premiere[[#This Row],[Sortis]])</f>
        <v>0</v>
      </c>
      <c r="W83" s="50" t="str">
        <f>CONCATENATE(Matiere_premiere[[#This Row],[CODE COLEUR]],"_",Matiere_premiere[[#This Row],[COULEUR]],"_",Matiere_premiere[[#This Row],[CODE FAB]],"_",Matiere_premiere[[#This Row],[Num de Lot]])</f>
        <v>C03_BEIGE CLAIRE_NM15-03.00_61559</v>
      </c>
    </row>
    <row r="84" spans="1:23" ht="19.7" customHeight="1" thickBot="1" x14ac:dyDescent="0.3">
      <c r="A84" s="68"/>
      <c r="B84" s="71"/>
      <c r="C84" s="71"/>
      <c r="D84" s="74"/>
      <c r="E84" s="76"/>
      <c r="F84" s="78"/>
      <c r="G84" s="74"/>
      <c r="H84" s="76"/>
      <c r="I84" s="80"/>
      <c r="J84" s="11" t="str">
        <f>Matiere_premiere[[#This Row],[Entrepot]]</f>
        <v>E3</v>
      </c>
      <c r="K84" s="9" t="b">
        <f>IF(Matiere_premiere[[#This Row],[INVENTAIRE]]&gt;0,TRUE,FALSE)</f>
        <v>0</v>
      </c>
      <c r="L84" s="65"/>
      <c r="M84" s="8" t="s">
        <v>103</v>
      </c>
      <c r="N84" s="8" t="s">
        <v>288</v>
      </c>
      <c r="O84" s="8" t="s">
        <v>287</v>
      </c>
      <c r="P84" s="8" t="s">
        <v>291</v>
      </c>
      <c r="Q84" s="53">
        <v>61559</v>
      </c>
      <c r="R84" s="8" t="s">
        <v>73</v>
      </c>
      <c r="S84" s="7">
        <v>0</v>
      </c>
      <c r="T84" s="7"/>
      <c r="U84" s="7"/>
      <c r="V84" s="7">
        <f>SUM(Matiere_premiere[[#This Row],[INVENTAIRE]],-Matiere_premiere[[#This Row],[Entrée]],-Matiere_premiere[[#This Row],[Sortis]])</f>
        <v>0</v>
      </c>
      <c r="W84" s="50" t="str">
        <f>CONCATENATE(Matiere_premiere[[#This Row],[CODE COLEUR]],"_",Matiere_premiere[[#This Row],[COULEUR]],"_",Matiere_premiere[[#This Row],[CODE FAB]],"_",Matiere_premiere[[#This Row],[Num de Lot]])</f>
        <v>C03_BEIGE CLAIRE_NM15-03.00_61559</v>
      </c>
    </row>
    <row r="85" spans="1:23" ht="19.7" customHeight="1" thickBot="1" x14ac:dyDescent="0.3">
      <c r="A85" s="69"/>
      <c r="B85" s="72"/>
      <c r="C85" s="72"/>
      <c r="D85" s="75"/>
      <c r="E85" s="77"/>
      <c r="F85" s="79"/>
      <c r="G85" s="75"/>
      <c r="H85" s="77"/>
      <c r="I85" s="81"/>
      <c r="J85" s="10" t="str">
        <f>Matiere_premiere[[#This Row],[Entrepot]]</f>
        <v>Usine</v>
      </c>
      <c r="K85" s="9" t="b">
        <f>IF(Matiere_premiere[[#This Row],[INVENTAIRE]]&gt;0,TRUE,FALSE)</f>
        <v>1</v>
      </c>
      <c r="L85" s="66"/>
      <c r="M85" s="8" t="s">
        <v>103</v>
      </c>
      <c r="N85" s="8" t="s">
        <v>288</v>
      </c>
      <c r="O85" s="8" t="s">
        <v>287</v>
      </c>
      <c r="P85" s="8" t="s">
        <v>291</v>
      </c>
      <c r="Q85" s="53">
        <v>61559</v>
      </c>
      <c r="R85" s="8" t="s">
        <v>68</v>
      </c>
      <c r="S85" s="7">
        <v>84</v>
      </c>
      <c r="T85" s="7"/>
      <c r="U85" s="7"/>
      <c r="V85" s="7">
        <f>SUM(Matiere_premiere[[#This Row],[INVENTAIRE]],-Matiere_premiere[[#This Row],[Entrée]],-Matiere_premiere[[#This Row],[Sortis]])</f>
        <v>84</v>
      </c>
      <c r="W85" s="50" t="str">
        <f>CONCATENATE(Matiere_premiere[[#This Row],[CODE COLEUR]],"_",Matiere_premiere[[#This Row],[COULEUR]],"_",Matiere_premiere[[#This Row],[CODE FAB]],"_",Matiere_premiere[[#This Row],[Num de Lot]])</f>
        <v>C03_BEIGE CLAIRE_NM15-03.00_61559</v>
      </c>
    </row>
    <row r="86" spans="1:23" ht="19.7" customHeight="1" thickTop="1" thickBot="1" x14ac:dyDescent="0.3">
      <c r="A86" s="67" t="str">
        <f>Matiere_premiere[[#This Row],[NUMERO METRIQUE]]</f>
        <v>NM15</v>
      </c>
      <c r="B86" s="70" t="str">
        <f>Matiere_premiere[[#This Row],[COULEUR]]</f>
        <v>BEIGE CLAIRE</v>
      </c>
      <c r="C86" s="70" t="str">
        <f>Matiere_premiere[[#This Row],[CODE COLEUR]]</f>
        <v>C03</v>
      </c>
      <c r="D86" s="73" t="str">
        <f>Matiere_premiere[[#This Row],[CODE FAB]]</f>
        <v>NM15-03.00</v>
      </c>
      <c r="E86" s="76" t="e" vm="29">
        <f>_xlfn.IMAGE("https://api.qrserver.com/v1/create-qr-code/?size=100x100&amp;data=" &amp; D86)</f>
        <v>#VALUE!</v>
      </c>
      <c r="F86" s="78"/>
      <c r="G86" s="73">
        <f>Matiere_premiere[[#This Row],[Num de Lot]]</f>
        <v>65359</v>
      </c>
      <c r="H86" s="76" t="e" vm="31">
        <f>_xlfn.IMAGE("https://api.qrserver.com/v1/create-qr-code/?size=100x100&amp;data=" &amp; G86)</f>
        <v>#VALUE!</v>
      </c>
      <c r="I86" s="80"/>
      <c r="J86" s="12" t="str">
        <f>Matiere_premiere[[#This Row],[Entrepot]]</f>
        <v>E1</v>
      </c>
      <c r="K86" s="9" t="b">
        <f>IF(Matiere_premiere[[#This Row],[INVENTAIRE]]&gt;0,TRUE,FALSE)</f>
        <v>0</v>
      </c>
      <c r="L86" s="65"/>
      <c r="M86" s="16" t="s">
        <v>103</v>
      </c>
      <c r="N86" s="16" t="s">
        <v>288</v>
      </c>
      <c r="O86" s="16" t="s">
        <v>287</v>
      </c>
      <c r="P86" s="16" t="s">
        <v>291</v>
      </c>
      <c r="Q86" s="54">
        <v>65359</v>
      </c>
      <c r="R86" s="13" t="s">
        <v>75</v>
      </c>
      <c r="S86" s="14">
        <v>0</v>
      </c>
      <c r="T86" s="14"/>
      <c r="U86" s="14"/>
      <c r="V86" s="14">
        <f>SUM(Matiere_premiere[[#This Row],[INVENTAIRE]],-Matiere_premiere[[#This Row],[Entrée]],-Matiere_premiere[[#This Row],[Sortis]])</f>
        <v>0</v>
      </c>
      <c r="W86" s="50" t="str">
        <f>CONCATENATE(Matiere_premiere[[#This Row],[CODE COLEUR]],"_",Matiere_premiere[[#This Row],[COULEUR]],"_",Matiere_premiere[[#This Row],[CODE FAB]],"_",Matiere_premiere[[#This Row],[Num de Lot]])</f>
        <v>C03_BEIGE CLAIRE_NM15-03.00_65359</v>
      </c>
    </row>
    <row r="87" spans="1:23" ht="19.7" customHeight="1" thickBot="1" x14ac:dyDescent="0.3">
      <c r="A87" s="68"/>
      <c r="B87" s="71"/>
      <c r="C87" s="71"/>
      <c r="D87" s="74"/>
      <c r="E87" s="76"/>
      <c r="F87" s="78"/>
      <c r="G87" s="74"/>
      <c r="H87" s="76"/>
      <c r="I87" s="80"/>
      <c r="J87" s="11" t="str">
        <f>Matiere_premiere[[#This Row],[Entrepot]]</f>
        <v>E2</v>
      </c>
      <c r="K87" s="9" t="b">
        <f>IF(Matiere_premiere[[#This Row],[INVENTAIRE]]&gt;0,TRUE,FALSE)</f>
        <v>0</v>
      </c>
      <c r="L87" s="65"/>
      <c r="M87" s="16" t="s">
        <v>103</v>
      </c>
      <c r="N87" s="16" t="s">
        <v>288</v>
      </c>
      <c r="O87" s="16" t="s">
        <v>287</v>
      </c>
      <c r="P87" s="16" t="s">
        <v>291</v>
      </c>
      <c r="Q87" s="54">
        <v>65359</v>
      </c>
      <c r="R87" s="13" t="s">
        <v>74</v>
      </c>
      <c r="S87" s="14">
        <v>0</v>
      </c>
      <c r="T87" s="14"/>
      <c r="U87" s="14"/>
      <c r="V87" s="14">
        <f>SUM(Matiere_premiere[[#This Row],[INVENTAIRE]],-Matiere_premiere[[#This Row],[Entrée]],-Matiere_premiere[[#This Row],[Sortis]])</f>
        <v>0</v>
      </c>
      <c r="W87" s="50" t="str">
        <f>CONCATENATE(Matiere_premiere[[#This Row],[CODE COLEUR]],"_",Matiere_premiere[[#This Row],[COULEUR]],"_",Matiere_premiere[[#This Row],[CODE FAB]],"_",Matiere_premiere[[#This Row],[Num de Lot]])</f>
        <v>C03_BEIGE CLAIRE_NM15-03.00_65359</v>
      </c>
    </row>
    <row r="88" spans="1:23" ht="19.7" customHeight="1" thickBot="1" x14ac:dyDescent="0.3">
      <c r="A88" s="68"/>
      <c r="B88" s="71"/>
      <c r="C88" s="71"/>
      <c r="D88" s="74"/>
      <c r="E88" s="76"/>
      <c r="F88" s="78"/>
      <c r="G88" s="74"/>
      <c r="H88" s="76"/>
      <c r="I88" s="80"/>
      <c r="J88" s="11" t="str">
        <f>Matiere_premiere[[#This Row],[Entrepot]]</f>
        <v>E3</v>
      </c>
      <c r="K88" s="9" t="b">
        <f>IF(Matiere_premiere[[#This Row],[INVENTAIRE]]&gt;0,TRUE,FALSE)</f>
        <v>0</v>
      </c>
      <c r="L88" s="65"/>
      <c r="M88" s="16" t="s">
        <v>103</v>
      </c>
      <c r="N88" s="16" t="s">
        <v>288</v>
      </c>
      <c r="O88" s="16" t="s">
        <v>287</v>
      </c>
      <c r="P88" s="16" t="s">
        <v>291</v>
      </c>
      <c r="Q88" s="54">
        <v>65359</v>
      </c>
      <c r="R88" s="13" t="s">
        <v>73</v>
      </c>
      <c r="S88" s="14">
        <v>0</v>
      </c>
      <c r="T88" s="14"/>
      <c r="U88" s="14"/>
      <c r="V88" s="14">
        <f>SUM(Matiere_premiere[[#This Row],[INVENTAIRE]],-Matiere_premiere[[#This Row],[Entrée]],-Matiere_premiere[[#This Row],[Sortis]])</f>
        <v>0</v>
      </c>
      <c r="W88" s="50" t="str">
        <f>CONCATENATE(Matiere_premiere[[#This Row],[CODE COLEUR]],"_",Matiere_premiere[[#This Row],[COULEUR]],"_",Matiere_premiere[[#This Row],[CODE FAB]],"_",Matiere_premiere[[#This Row],[Num de Lot]])</f>
        <v>C03_BEIGE CLAIRE_NM15-03.00_65359</v>
      </c>
    </row>
    <row r="89" spans="1:23" ht="19.7" customHeight="1" thickBot="1" x14ac:dyDescent="0.3">
      <c r="A89" s="69"/>
      <c r="B89" s="72"/>
      <c r="C89" s="72"/>
      <c r="D89" s="75"/>
      <c r="E89" s="77"/>
      <c r="F89" s="79"/>
      <c r="G89" s="75"/>
      <c r="H89" s="77"/>
      <c r="I89" s="81"/>
      <c r="J89" s="10" t="str">
        <f>Matiere_premiere[[#This Row],[Entrepot]]</f>
        <v>Usine</v>
      </c>
      <c r="K89" s="9" t="b">
        <f>IF(Matiere_premiere[[#This Row],[INVENTAIRE]]&gt;0,TRUE,FALSE)</f>
        <v>0</v>
      </c>
      <c r="L89" s="66"/>
      <c r="M89" s="13" t="s">
        <v>103</v>
      </c>
      <c r="N89" s="13" t="s">
        <v>288</v>
      </c>
      <c r="O89" s="13" t="s">
        <v>287</v>
      </c>
      <c r="P89" s="13" t="s">
        <v>291</v>
      </c>
      <c r="Q89" s="55">
        <v>65359</v>
      </c>
      <c r="R89" s="13" t="s">
        <v>68</v>
      </c>
      <c r="S89" s="14">
        <v>0</v>
      </c>
      <c r="T89" s="14"/>
      <c r="U89" s="14"/>
      <c r="V89" s="14">
        <f>SUM(Matiere_premiere[[#This Row],[INVENTAIRE]],-Matiere_premiere[[#This Row],[Entrée]],-Matiere_premiere[[#This Row],[Sortis]])</f>
        <v>0</v>
      </c>
      <c r="W89" s="50" t="str">
        <f>CONCATENATE(Matiere_premiere[[#This Row],[CODE COLEUR]],"_",Matiere_premiere[[#This Row],[COULEUR]],"_",Matiere_premiere[[#This Row],[CODE FAB]],"_",Matiere_premiere[[#This Row],[Num de Lot]])</f>
        <v>C03_BEIGE CLAIRE_NM15-03.00_65359</v>
      </c>
    </row>
    <row r="90" spans="1:23" ht="19.7" customHeight="1" thickTop="1" thickBot="1" x14ac:dyDescent="0.3">
      <c r="A90" s="67" t="str">
        <f>Matiere_premiere[[#This Row],[NUMERO METRIQUE]]</f>
        <v>NM15</v>
      </c>
      <c r="B90" s="70" t="str">
        <f>Matiere_premiere[[#This Row],[COULEUR]]</f>
        <v xml:space="preserve">BEIGE </v>
      </c>
      <c r="C90" s="70" t="str">
        <f>Matiere_premiere[[#This Row],[CODE COLEUR]]</f>
        <v>C03</v>
      </c>
      <c r="D90" s="73" t="str">
        <f>Matiere_premiere[[#This Row],[CODE FAB]]</f>
        <v>NM15-03.01</v>
      </c>
      <c r="E90" s="76" t="e" vm="32">
        <f>_xlfn.IMAGE("https://api.qrserver.com/v1/create-qr-code/?size=100x100&amp;data=" &amp; D90)</f>
        <v>#VALUE!</v>
      </c>
      <c r="F90" s="78"/>
      <c r="G90" s="73">
        <f>Matiere_premiere[[#This Row],[Num de Lot]]</f>
        <v>61559</v>
      </c>
      <c r="H90" s="76" t="e" vm="30">
        <f>_xlfn.IMAGE("https://api.qrserver.com/v1/create-qr-code/?size=100x100&amp;data=" &amp; G90)</f>
        <v>#VALUE!</v>
      </c>
      <c r="I90" s="80"/>
      <c r="J90" s="12" t="str">
        <f>Matiere_premiere[[#This Row],[Entrepot]]</f>
        <v>E1</v>
      </c>
      <c r="K90" s="9" t="b">
        <f>IF(Matiere_premiere[[#This Row],[INVENTAIRE]]&gt;0,TRUE,FALSE)</f>
        <v>0</v>
      </c>
      <c r="L90" s="65"/>
      <c r="M90" s="8" t="s">
        <v>103</v>
      </c>
      <c r="N90" s="8" t="s">
        <v>290</v>
      </c>
      <c r="O90" s="8" t="s">
        <v>287</v>
      </c>
      <c r="P90" s="8" t="s">
        <v>289</v>
      </c>
      <c r="Q90" s="53">
        <v>61559</v>
      </c>
      <c r="R90" s="8" t="s">
        <v>75</v>
      </c>
      <c r="S90" s="7">
        <v>0</v>
      </c>
      <c r="T90" s="7"/>
      <c r="U90" s="7"/>
      <c r="V90" s="7">
        <f>SUM(Matiere_premiere[[#This Row],[INVENTAIRE]],-Matiere_premiere[[#This Row],[Entrée]],-Matiere_premiere[[#This Row],[Sortis]])</f>
        <v>0</v>
      </c>
      <c r="W90" s="50" t="str">
        <f>CONCATENATE(Matiere_premiere[[#This Row],[CODE COLEUR]],"_",Matiere_premiere[[#This Row],[COULEUR]],"_",Matiere_premiere[[#This Row],[CODE FAB]],"_",Matiere_premiere[[#This Row],[Num de Lot]])</f>
        <v>C03_BEIGE _NM15-03.01_61559</v>
      </c>
    </row>
    <row r="91" spans="1:23" ht="19.7" customHeight="1" thickBot="1" x14ac:dyDescent="0.3">
      <c r="A91" s="68"/>
      <c r="B91" s="71"/>
      <c r="C91" s="71"/>
      <c r="D91" s="74"/>
      <c r="E91" s="76"/>
      <c r="F91" s="78"/>
      <c r="G91" s="74"/>
      <c r="H91" s="76"/>
      <c r="I91" s="80"/>
      <c r="J91" s="11" t="str">
        <f>Matiere_premiere[[#This Row],[Entrepot]]</f>
        <v>E2</v>
      </c>
      <c r="K91" s="9" t="b">
        <f>IF(Matiere_premiere[[#This Row],[INVENTAIRE]]&gt;0,TRUE,FALSE)</f>
        <v>0</v>
      </c>
      <c r="L91" s="65"/>
      <c r="M91" s="8" t="s">
        <v>103</v>
      </c>
      <c r="N91" s="8" t="s">
        <v>290</v>
      </c>
      <c r="O91" s="8" t="s">
        <v>287</v>
      </c>
      <c r="P91" s="8" t="s">
        <v>289</v>
      </c>
      <c r="Q91" s="53">
        <v>61559</v>
      </c>
      <c r="R91" s="8" t="s">
        <v>74</v>
      </c>
      <c r="S91" s="7">
        <v>0</v>
      </c>
      <c r="T91" s="7"/>
      <c r="U91" s="7"/>
      <c r="V91" s="7">
        <f>SUM(Matiere_premiere[[#This Row],[INVENTAIRE]],-Matiere_premiere[[#This Row],[Entrée]],-Matiere_premiere[[#This Row],[Sortis]])</f>
        <v>0</v>
      </c>
      <c r="W91" s="50" t="str">
        <f>CONCATENATE(Matiere_premiere[[#This Row],[CODE COLEUR]],"_",Matiere_premiere[[#This Row],[COULEUR]],"_",Matiere_premiere[[#This Row],[CODE FAB]],"_",Matiere_premiere[[#This Row],[Num de Lot]])</f>
        <v>C03_BEIGE _NM15-03.01_61559</v>
      </c>
    </row>
    <row r="92" spans="1:23" ht="19.7" customHeight="1" thickBot="1" x14ac:dyDescent="0.3">
      <c r="A92" s="68"/>
      <c r="B92" s="71"/>
      <c r="C92" s="71"/>
      <c r="D92" s="74"/>
      <c r="E92" s="76"/>
      <c r="F92" s="78"/>
      <c r="G92" s="74"/>
      <c r="H92" s="76"/>
      <c r="I92" s="80"/>
      <c r="J92" s="11" t="str">
        <f>Matiere_premiere[[#This Row],[Entrepot]]</f>
        <v>E3</v>
      </c>
      <c r="K92" s="9" t="b">
        <f>IF(Matiere_premiere[[#This Row],[INVENTAIRE]]&gt;0,TRUE,FALSE)</f>
        <v>0</v>
      </c>
      <c r="L92" s="65"/>
      <c r="M92" s="8" t="s">
        <v>103</v>
      </c>
      <c r="N92" s="8" t="s">
        <v>290</v>
      </c>
      <c r="O92" s="8" t="s">
        <v>287</v>
      </c>
      <c r="P92" s="8" t="s">
        <v>289</v>
      </c>
      <c r="Q92" s="53">
        <v>61559</v>
      </c>
      <c r="R92" s="8" t="s">
        <v>73</v>
      </c>
      <c r="S92" s="7">
        <v>0</v>
      </c>
      <c r="T92" s="7"/>
      <c r="U92" s="7"/>
      <c r="V92" s="7">
        <f>SUM(Matiere_premiere[[#This Row],[INVENTAIRE]],-Matiere_premiere[[#This Row],[Entrée]],-Matiere_premiere[[#This Row],[Sortis]])</f>
        <v>0</v>
      </c>
      <c r="W92" s="50" t="str">
        <f>CONCATENATE(Matiere_premiere[[#This Row],[CODE COLEUR]],"_",Matiere_premiere[[#This Row],[COULEUR]],"_",Matiere_premiere[[#This Row],[CODE FAB]],"_",Matiere_premiere[[#This Row],[Num de Lot]])</f>
        <v>C03_BEIGE _NM15-03.01_61559</v>
      </c>
    </row>
    <row r="93" spans="1:23" ht="19.7" customHeight="1" thickBot="1" x14ac:dyDescent="0.3">
      <c r="A93" s="69"/>
      <c r="B93" s="72"/>
      <c r="C93" s="72"/>
      <c r="D93" s="75"/>
      <c r="E93" s="77"/>
      <c r="F93" s="79"/>
      <c r="G93" s="75"/>
      <c r="H93" s="77"/>
      <c r="I93" s="81"/>
      <c r="J93" s="10" t="str">
        <f>Matiere_premiere[[#This Row],[Entrepot]]</f>
        <v>Usine</v>
      </c>
      <c r="K93" s="9" t="b">
        <f>IF(Matiere_premiere[[#This Row],[INVENTAIRE]]&gt;0,TRUE,FALSE)</f>
        <v>1</v>
      </c>
      <c r="L93" s="66"/>
      <c r="M93" s="8" t="s">
        <v>103</v>
      </c>
      <c r="N93" s="8" t="s">
        <v>290</v>
      </c>
      <c r="O93" s="8" t="s">
        <v>287</v>
      </c>
      <c r="P93" s="8" t="s">
        <v>289</v>
      </c>
      <c r="Q93" s="53">
        <v>61559</v>
      </c>
      <c r="R93" s="8" t="s">
        <v>68</v>
      </c>
      <c r="S93" s="7">
        <v>3.5</v>
      </c>
      <c r="T93" s="7"/>
      <c r="U93" s="7"/>
      <c r="V93" s="7">
        <f>SUM(Matiere_premiere[[#This Row],[INVENTAIRE]],-Matiere_premiere[[#This Row],[Entrée]],-Matiere_premiere[[#This Row],[Sortis]])</f>
        <v>3.5</v>
      </c>
      <c r="W93" s="50" t="str">
        <f>CONCATENATE(Matiere_premiere[[#This Row],[CODE COLEUR]],"_",Matiere_premiere[[#This Row],[COULEUR]],"_",Matiere_premiere[[#This Row],[CODE FAB]],"_",Matiere_premiere[[#This Row],[Num de Lot]])</f>
        <v>C03_BEIGE _NM15-03.01_61559</v>
      </c>
    </row>
    <row r="94" spans="1:23" ht="19.7" customHeight="1" thickTop="1" thickBot="1" x14ac:dyDescent="0.3">
      <c r="A94" s="67" t="str">
        <f>Matiere_premiere[[#This Row],[NUMERO METRIQUE]]</f>
        <v>NM15</v>
      </c>
      <c r="B94" s="70" t="str">
        <f>Matiere_premiere[[#This Row],[COULEUR]]</f>
        <v xml:space="preserve">BEIGE </v>
      </c>
      <c r="C94" s="70" t="str">
        <f>Matiere_premiere[[#This Row],[CODE COLEUR]]</f>
        <v>C03</v>
      </c>
      <c r="D94" s="73" t="str">
        <f>Matiere_premiere[[#This Row],[CODE FAB]]</f>
        <v>NM15-03.01</v>
      </c>
      <c r="E94" s="76" t="e" vm="32">
        <f>_xlfn.IMAGE("https://api.qrserver.com/v1/create-qr-code/?size=100x100&amp;data=" &amp; D94)</f>
        <v>#VALUE!</v>
      </c>
      <c r="F94" s="78"/>
      <c r="G94" s="73">
        <f>Matiere_premiere[[#This Row],[Num de Lot]]</f>
        <v>65313</v>
      </c>
      <c r="H94" s="76" t="e" vm="33">
        <f>_xlfn.IMAGE("https://api.qrserver.com/v1/create-qr-code/?size=100x100&amp;data=" &amp; G94)</f>
        <v>#VALUE!</v>
      </c>
      <c r="I94" s="80"/>
      <c r="J94" s="12" t="str">
        <f>Matiere_premiere[[#This Row],[Entrepot]]</f>
        <v>E1</v>
      </c>
      <c r="K94" s="9" t="b">
        <f>IF(Matiere_premiere[[#This Row],[INVENTAIRE]]&gt;0,TRUE,FALSE)</f>
        <v>0</v>
      </c>
      <c r="L94" s="65"/>
      <c r="M94" s="16" t="s">
        <v>103</v>
      </c>
      <c r="N94" s="16" t="s">
        <v>290</v>
      </c>
      <c r="O94" s="16" t="s">
        <v>287</v>
      </c>
      <c r="P94" s="16" t="s">
        <v>289</v>
      </c>
      <c r="Q94" s="54">
        <v>65313</v>
      </c>
      <c r="R94" s="13" t="s">
        <v>75</v>
      </c>
      <c r="S94" s="14">
        <v>0</v>
      </c>
      <c r="T94" s="14"/>
      <c r="U94" s="14"/>
      <c r="V94" s="14">
        <f>SUM(Matiere_premiere[[#This Row],[INVENTAIRE]],-Matiere_premiere[[#This Row],[Entrée]],-Matiere_premiere[[#This Row],[Sortis]])</f>
        <v>0</v>
      </c>
      <c r="W94" s="50" t="str">
        <f>CONCATENATE(Matiere_premiere[[#This Row],[CODE COLEUR]],"_",Matiere_premiere[[#This Row],[COULEUR]],"_",Matiere_premiere[[#This Row],[CODE FAB]],"_",Matiere_premiere[[#This Row],[Num de Lot]])</f>
        <v>C03_BEIGE _NM15-03.01_65313</v>
      </c>
    </row>
    <row r="95" spans="1:23" ht="19.7" customHeight="1" thickBot="1" x14ac:dyDescent="0.3">
      <c r="A95" s="68"/>
      <c r="B95" s="71"/>
      <c r="C95" s="71"/>
      <c r="D95" s="74"/>
      <c r="E95" s="76"/>
      <c r="F95" s="78"/>
      <c r="G95" s="74"/>
      <c r="H95" s="76"/>
      <c r="I95" s="80"/>
      <c r="J95" s="11" t="str">
        <f>Matiere_premiere[[#This Row],[Entrepot]]</f>
        <v>E2</v>
      </c>
      <c r="K95" s="9" t="b">
        <f>IF(Matiere_premiere[[#This Row],[INVENTAIRE]]&gt;0,TRUE,FALSE)</f>
        <v>0</v>
      </c>
      <c r="L95" s="65"/>
      <c r="M95" s="16" t="s">
        <v>103</v>
      </c>
      <c r="N95" s="16" t="s">
        <v>290</v>
      </c>
      <c r="O95" s="16" t="s">
        <v>287</v>
      </c>
      <c r="P95" s="16" t="s">
        <v>289</v>
      </c>
      <c r="Q95" s="54">
        <v>65313</v>
      </c>
      <c r="R95" s="13" t="s">
        <v>74</v>
      </c>
      <c r="S95" s="14">
        <v>0</v>
      </c>
      <c r="T95" s="14"/>
      <c r="U95" s="14"/>
      <c r="V95" s="14">
        <f>SUM(Matiere_premiere[[#This Row],[INVENTAIRE]],-Matiere_premiere[[#This Row],[Entrée]],-Matiere_premiere[[#This Row],[Sortis]])</f>
        <v>0</v>
      </c>
      <c r="W95" s="50" t="str">
        <f>CONCATENATE(Matiere_premiere[[#This Row],[CODE COLEUR]],"_",Matiere_premiere[[#This Row],[COULEUR]],"_",Matiere_premiere[[#This Row],[CODE FAB]],"_",Matiere_premiere[[#This Row],[Num de Lot]])</f>
        <v>C03_BEIGE _NM15-03.01_65313</v>
      </c>
    </row>
    <row r="96" spans="1:23" ht="19.7" customHeight="1" thickBot="1" x14ac:dyDescent="0.3">
      <c r="A96" s="68"/>
      <c r="B96" s="71"/>
      <c r="C96" s="71"/>
      <c r="D96" s="74"/>
      <c r="E96" s="76"/>
      <c r="F96" s="78"/>
      <c r="G96" s="74"/>
      <c r="H96" s="76"/>
      <c r="I96" s="80"/>
      <c r="J96" s="11" t="str">
        <f>Matiere_premiere[[#This Row],[Entrepot]]</f>
        <v>E3</v>
      </c>
      <c r="K96" s="9" t="b">
        <f>IF(Matiere_premiere[[#This Row],[INVENTAIRE]]&gt;0,TRUE,FALSE)</f>
        <v>0</v>
      </c>
      <c r="L96" s="65"/>
      <c r="M96" s="16" t="s">
        <v>103</v>
      </c>
      <c r="N96" s="16" t="s">
        <v>290</v>
      </c>
      <c r="O96" s="16" t="s">
        <v>287</v>
      </c>
      <c r="P96" s="16" t="s">
        <v>289</v>
      </c>
      <c r="Q96" s="54">
        <v>65313</v>
      </c>
      <c r="R96" s="13" t="s">
        <v>73</v>
      </c>
      <c r="S96" s="14">
        <v>0</v>
      </c>
      <c r="T96" s="14"/>
      <c r="U96" s="14"/>
      <c r="V96" s="14">
        <f>SUM(Matiere_premiere[[#This Row],[INVENTAIRE]],-Matiere_premiere[[#This Row],[Entrée]],-Matiere_premiere[[#This Row],[Sortis]])</f>
        <v>0</v>
      </c>
      <c r="W96" s="50" t="str">
        <f>CONCATENATE(Matiere_premiere[[#This Row],[CODE COLEUR]],"_",Matiere_premiere[[#This Row],[COULEUR]],"_",Matiere_premiere[[#This Row],[CODE FAB]],"_",Matiere_premiere[[#This Row],[Num de Lot]])</f>
        <v>C03_BEIGE _NM15-03.01_65313</v>
      </c>
    </row>
    <row r="97" spans="1:23" ht="19.7" customHeight="1" thickBot="1" x14ac:dyDescent="0.3">
      <c r="A97" s="69"/>
      <c r="B97" s="72"/>
      <c r="C97" s="72"/>
      <c r="D97" s="75"/>
      <c r="E97" s="77"/>
      <c r="F97" s="79"/>
      <c r="G97" s="75"/>
      <c r="H97" s="77"/>
      <c r="I97" s="81"/>
      <c r="J97" s="10" t="str">
        <f>Matiere_premiere[[#This Row],[Entrepot]]</f>
        <v>Usine</v>
      </c>
      <c r="K97" s="9" t="b">
        <f>IF(Matiere_premiere[[#This Row],[INVENTAIRE]]&gt;0,TRUE,FALSE)</f>
        <v>0</v>
      </c>
      <c r="L97" s="66"/>
      <c r="M97" s="13" t="s">
        <v>103</v>
      </c>
      <c r="N97" s="13" t="s">
        <v>290</v>
      </c>
      <c r="O97" s="13" t="s">
        <v>287</v>
      </c>
      <c r="P97" s="13" t="s">
        <v>289</v>
      </c>
      <c r="Q97" s="55">
        <v>65313</v>
      </c>
      <c r="R97" s="13" t="s">
        <v>68</v>
      </c>
      <c r="S97" s="14">
        <v>0</v>
      </c>
      <c r="T97" s="14"/>
      <c r="U97" s="14"/>
      <c r="V97" s="14">
        <f>SUM(Matiere_premiere[[#This Row],[INVENTAIRE]],-Matiere_premiere[[#This Row],[Entrée]],-Matiere_premiere[[#This Row],[Sortis]])</f>
        <v>0</v>
      </c>
      <c r="W97" s="50" t="str">
        <f>CONCATENATE(Matiere_premiere[[#This Row],[CODE COLEUR]],"_",Matiere_premiere[[#This Row],[COULEUR]],"_",Matiere_premiere[[#This Row],[CODE FAB]],"_",Matiere_premiere[[#This Row],[Num de Lot]])</f>
        <v>C03_BEIGE _NM15-03.01_65313</v>
      </c>
    </row>
    <row r="98" spans="1:23" ht="19.7" customHeight="1" thickTop="1" thickBot="1" x14ac:dyDescent="0.3">
      <c r="A98" s="67" t="str">
        <f>Matiere_premiere[[#This Row],[NUMERO METRIQUE]]</f>
        <v>NM34</v>
      </c>
      <c r="B98" s="70" t="str">
        <f>Matiere_premiere[[#This Row],[COULEUR]]</f>
        <v>BEIGE CLAIRE</v>
      </c>
      <c r="C98" s="70" t="str">
        <f>Matiere_premiere[[#This Row],[CODE COLEUR]]</f>
        <v>C03</v>
      </c>
      <c r="D98" s="73" t="str">
        <f>Matiere_premiere[[#This Row],[CODE FAB]]</f>
        <v>NM34-03.00</v>
      </c>
      <c r="E98" s="76" t="e" vm="34">
        <f>_xlfn.IMAGE("https://api.qrserver.com/v1/create-qr-code/?size=100x100&amp;data=" &amp; D98)</f>
        <v>#VALUE!</v>
      </c>
      <c r="F98" s="78"/>
      <c r="G98" s="73" t="str">
        <f>Matiere_premiere[[#This Row],[Num de Lot]]</f>
        <v>S2024</v>
      </c>
      <c r="H98" s="76" t="e" vm="20">
        <f>_xlfn.IMAGE("https://api.qrserver.com/v1/create-qr-code/?size=100x100&amp;data=" &amp; G98)</f>
        <v>#VALUE!</v>
      </c>
      <c r="I98" s="80"/>
      <c r="J98" s="12" t="str">
        <f>Matiere_premiere[[#This Row],[Entrepot]]</f>
        <v>E1</v>
      </c>
      <c r="K98" s="9" t="b">
        <f>IF(Matiere_premiere[[#This Row],[INVENTAIRE]]&gt;0,TRUE,FALSE)</f>
        <v>0</v>
      </c>
      <c r="L98" s="65"/>
      <c r="M98" s="8" t="s">
        <v>179</v>
      </c>
      <c r="N98" s="8" t="s">
        <v>288</v>
      </c>
      <c r="O98" s="8" t="s">
        <v>287</v>
      </c>
      <c r="P98" s="8" t="s">
        <v>286</v>
      </c>
      <c r="Q98" s="53" t="s">
        <v>175</v>
      </c>
      <c r="R98" s="8" t="s">
        <v>75</v>
      </c>
      <c r="S98" s="7">
        <v>0</v>
      </c>
      <c r="T98" s="7"/>
      <c r="U98" s="7"/>
      <c r="V98" s="7">
        <f>SUM(Matiere_premiere[[#This Row],[INVENTAIRE]],-Matiere_premiere[[#This Row],[Entrée]],-Matiere_premiere[[#This Row],[Sortis]])</f>
        <v>0</v>
      </c>
      <c r="W98" s="50" t="str">
        <f>CONCATENATE(Matiere_premiere[[#This Row],[CODE COLEUR]],"_",Matiere_premiere[[#This Row],[COULEUR]],"_",Matiere_premiere[[#This Row],[CODE FAB]],"_",Matiere_premiere[[#This Row],[Num de Lot]])</f>
        <v>C03_BEIGE CLAIRE_NM34-03.00_S2024</v>
      </c>
    </row>
    <row r="99" spans="1:23" ht="19.7" customHeight="1" thickBot="1" x14ac:dyDescent="0.3">
      <c r="A99" s="68"/>
      <c r="B99" s="71"/>
      <c r="C99" s="71"/>
      <c r="D99" s="74"/>
      <c r="E99" s="76"/>
      <c r="F99" s="78"/>
      <c r="G99" s="74"/>
      <c r="H99" s="76"/>
      <c r="I99" s="80"/>
      <c r="J99" s="11" t="str">
        <f>Matiere_premiere[[#This Row],[Entrepot]]</f>
        <v>E2</v>
      </c>
      <c r="K99" s="9" t="b">
        <f>IF(Matiere_premiere[[#This Row],[INVENTAIRE]]&gt;0,TRUE,FALSE)</f>
        <v>0</v>
      </c>
      <c r="L99" s="65"/>
      <c r="M99" s="8" t="s">
        <v>179</v>
      </c>
      <c r="N99" s="8" t="s">
        <v>288</v>
      </c>
      <c r="O99" s="8" t="s">
        <v>287</v>
      </c>
      <c r="P99" s="8" t="s">
        <v>286</v>
      </c>
      <c r="Q99" s="53" t="s">
        <v>175</v>
      </c>
      <c r="R99" s="8" t="s">
        <v>74</v>
      </c>
      <c r="S99" s="7">
        <v>0</v>
      </c>
      <c r="T99" s="7"/>
      <c r="U99" s="7"/>
      <c r="V99" s="7">
        <f>SUM(Matiere_premiere[[#This Row],[INVENTAIRE]],-Matiere_premiere[[#This Row],[Entrée]],-Matiere_premiere[[#This Row],[Sortis]])</f>
        <v>0</v>
      </c>
      <c r="W99" s="50" t="str">
        <f>CONCATENATE(Matiere_premiere[[#This Row],[CODE COLEUR]],"_",Matiere_premiere[[#This Row],[COULEUR]],"_",Matiere_premiere[[#This Row],[CODE FAB]],"_",Matiere_premiere[[#This Row],[Num de Lot]])</f>
        <v>C03_BEIGE CLAIRE_NM34-03.00_S2024</v>
      </c>
    </row>
    <row r="100" spans="1:23" ht="19.7" customHeight="1" thickBot="1" x14ac:dyDescent="0.3">
      <c r="A100" s="68"/>
      <c r="B100" s="71"/>
      <c r="C100" s="71"/>
      <c r="D100" s="74"/>
      <c r="E100" s="76"/>
      <c r="F100" s="78"/>
      <c r="G100" s="74"/>
      <c r="H100" s="76"/>
      <c r="I100" s="80"/>
      <c r="J100" s="11" t="str">
        <f>Matiere_premiere[[#This Row],[Entrepot]]</f>
        <v>E3</v>
      </c>
      <c r="K100" s="9" t="b">
        <f>IF(Matiere_premiere[[#This Row],[INVENTAIRE]]&gt;0,TRUE,FALSE)</f>
        <v>0</v>
      </c>
      <c r="L100" s="65"/>
      <c r="M100" s="8" t="s">
        <v>179</v>
      </c>
      <c r="N100" s="8" t="s">
        <v>288</v>
      </c>
      <c r="O100" s="8" t="s">
        <v>287</v>
      </c>
      <c r="P100" s="8" t="s">
        <v>286</v>
      </c>
      <c r="Q100" s="53" t="s">
        <v>175</v>
      </c>
      <c r="R100" s="8" t="s">
        <v>73</v>
      </c>
      <c r="S100" s="7">
        <v>0</v>
      </c>
      <c r="T100" s="7"/>
      <c r="U100" s="7"/>
      <c r="V100" s="7">
        <f>SUM(Matiere_premiere[[#This Row],[INVENTAIRE]],-Matiere_premiere[[#This Row],[Entrée]],-Matiere_premiere[[#This Row],[Sortis]])</f>
        <v>0</v>
      </c>
      <c r="W100" s="50" t="str">
        <f>CONCATENATE(Matiere_premiere[[#This Row],[CODE COLEUR]],"_",Matiere_premiere[[#This Row],[COULEUR]],"_",Matiere_premiere[[#This Row],[CODE FAB]],"_",Matiere_premiere[[#This Row],[Num de Lot]])</f>
        <v>C03_BEIGE CLAIRE_NM34-03.00_S2024</v>
      </c>
    </row>
    <row r="101" spans="1:23" ht="19.7" customHeight="1" thickBot="1" x14ac:dyDescent="0.3">
      <c r="A101" s="69"/>
      <c r="B101" s="72"/>
      <c r="C101" s="72"/>
      <c r="D101" s="75"/>
      <c r="E101" s="77"/>
      <c r="F101" s="79"/>
      <c r="G101" s="75"/>
      <c r="H101" s="77"/>
      <c r="I101" s="81"/>
      <c r="J101" s="10" t="str">
        <f>Matiere_premiere[[#This Row],[Entrepot]]</f>
        <v>Usine</v>
      </c>
      <c r="K101" s="9" t="b">
        <f>IF(Matiere_premiere[[#This Row],[INVENTAIRE]]&gt;0,TRUE,FALSE)</f>
        <v>1</v>
      </c>
      <c r="L101" s="66"/>
      <c r="M101" s="8" t="s">
        <v>179</v>
      </c>
      <c r="N101" s="8" t="s">
        <v>288</v>
      </c>
      <c r="O101" s="8" t="s">
        <v>287</v>
      </c>
      <c r="P101" s="8" t="s">
        <v>286</v>
      </c>
      <c r="Q101" s="53" t="s">
        <v>175</v>
      </c>
      <c r="R101" s="8" t="s">
        <v>68</v>
      </c>
      <c r="S101" s="7">
        <v>71</v>
      </c>
      <c r="T101" s="7"/>
      <c r="U101" s="7"/>
      <c r="V101" s="7">
        <f>SUM(Matiere_premiere[[#This Row],[INVENTAIRE]],-Matiere_premiere[[#This Row],[Entrée]],-Matiere_premiere[[#This Row],[Sortis]])</f>
        <v>71</v>
      </c>
      <c r="W101" s="50" t="str">
        <f>CONCATENATE(Matiere_premiere[[#This Row],[CODE COLEUR]],"_",Matiere_premiere[[#This Row],[COULEUR]],"_",Matiere_premiere[[#This Row],[CODE FAB]],"_",Matiere_premiere[[#This Row],[Num de Lot]])</f>
        <v>C03_BEIGE CLAIRE_NM34-03.00_S2024</v>
      </c>
    </row>
    <row r="102" spans="1:23" ht="19.7" customHeight="1" thickTop="1" thickBot="1" x14ac:dyDescent="0.3">
      <c r="A102" s="67" t="str">
        <f>Matiere_premiere[[#This Row],[NUMERO METRIQUE]]</f>
        <v>NM05</v>
      </c>
      <c r="B102" s="70" t="str">
        <f>Matiere_premiere[[#This Row],[COULEUR]]</f>
        <v>TAUPE</v>
      </c>
      <c r="C102" s="70" t="str">
        <f>Matiere_premiere[[#This Row],[CODE COLEUR]]</f>
        <v>C04</v>
      </c>
      <c r="D102" s="73" t="str">
        <f>Matiere_premiere[[#This Row],[CODE FAB]]</f>
        <v>NM05-04.00</v>
      </c>
      <c r="E102" s="76" t="e" vm="35">
        <f>_xlfn.IMAGE("https://api.qrserver.com/v1/create-qr-code/?size=100x100&amp;data=" &amp; D102)</f>
        <v>#VALUE!</v>
      </c>
      <c r="F102" s="78"/>
      <c r="G102" s="73" t="str">
        <f>Matiere_premiere[[#This Row],[Num de Lot]]</f>
        <v>S2023</v>
      </c>
      <c r="H102" s="76" t="e" vm="2">
        <f>_xlfn.IMAGE("https://api.qrserver.com/v1/create-qr-code/?size=100x100&amp;data=" &amp; G102)</f>
        <v>#VALUE!</v>
      </c>
      <c r="I102" s="80"/>
      <c r="J102" s="12" t="str">
        <f>Matiere_premiere[[#This Row],[Entrepot]]</f>
        <v>E1</v>
      </c>
      <c r="K102" s="9" t="b">
        <f>IF(Matiere_premiere[[#This Row],[INVENTAIRE]]&gt;0,TRUE,FALSE)</f>
        <v>0</v>
      </c>
      <c r="L102" s="65"/>
      <c r="M102" s="13" t="s">
        <v>119</v>
      </c>
      <c r="N102" s="16" t="s">
        <v>277</v>
      </c>
      <c r="O102" s="13" t="s">
        <v>276</v>
      </c>
      <c r="P102" s="13" t="s">
        <v>285</v>
      </c>
      <c r="Q102" s="55" t="s">
        <v>69</v>
      </c>
      <c r="R102" s="13" t="s">
        <v>75</v>
      </c>
      <c r="S102" s="14">
        <v>0</v>
      </c>
      <c r="T102" s="14"/>
      <c r="U102" s="14"/>
      <c r="V102" s="14">
        <f>SUM(Matiere_premiere[[#This Row],[INVENTAIRE]],-Matiere_premiere[[#This Row],[Entrée]],-Matiere_premiere[[#This Row],[Sortis]])</f>
        <v>0</v>
      </c>
      <c r="W102" s="50" t="str">
        <f>CONCATENATE(Matiere_premiere[[#This Row],[CODE COLEUR]],"_",Matiere_premiere[[#This Row],[COULEUR]],"_",Matiere_premiere[[#This Row],[CODE FAB]],"_",Matiere_premiere[[#This Row],[Num de Lot]])</f>
        <v>C04_TAUPE_NM05-04.00_S2023</v>
      </c>
    </row>
    <row r="103" spans="1:23" ht="19.7" customHeight="1" thickBot="1" x14ac:dyDescent="0.3">
      <c r="A103" s="68"/>
      <c r="B103" s="71"/>
      <c r="C103" s="71"/>
      <c r="D103" s="74"/>
      <c r="E103" s="76"/>
      <c r="F103" s="78"/>
      <c r="G103" s="74"/>
      <c r="H103" s="76"/>
      <c r="I103" s="80"/>
      <c r="J103" s="11" t="str">
        <f>Matiere_premiere[[#This Row],[Entrepot]]</f>
        <v>E2</v>
      </c>
      <c r="K103" s="9" t="b">
        <f>IF(Matiere_premiere[[#This Row],[INVENTAIRE]]&gt;0,TRUE,FALSE)</f>
        <v>1</v>
      </c>
      <c r="L103" s="65"/>
      <c r="M103" s="13" t="s">
        <v>119</v>
      </c>
      <c r="N103" s="16" t="s">
        <v>277</v>
      </c>
      <c r="O103" s="13" t="s">
        <v>276</v>
      </c>
      <c r="P103" s="13" t="s">
        <v>285</v>
      </c>
      <c r="Q103" s="55" t="s">
        <v>69</v>
      </c>
      <c r="R103" s="13" t="s">
        <v>74</v>
      </c>
      <c r="S103" s="14">
        <v>273</v>
      </c>
      <c r="T103" s="14"/>
      <c r="U103" s="14"/>
      <c r="V103" s="14">
        <f>SUM(Matiere_premiere[[#This Row],[INVENTAIRE]],-Matiere_premiere[[#This Row],[Entrée]],-Matiere_premiere[[#This Row],[Sortis]])</f>
        <v>273</v>
      </c>
      <c r="W103" s="50" t="str">
        <f>CONCATENATE(Matiere_premiere[[#This Row],[CODE COLEUR]],"_",Matiere_premiere[[#This Row],[COULEUR]],"_",Matiere_premiere[[#This Row],[CODE FAB]],"_",Matiere_premiere[[#This Row],[Num de Lot]])</f>
        <v>C04_TAUPE_NM05-04.00_S2023</v>
      </c>
    </row>
    <row r="104" spans="1:23" ht="19.7" customHeight="1" thickBot="1" x14ac:dyDescent="0.3">
      <c r="A104" s="68"/>
      <c r="B104" s="71"/>
      <c r="C104" s="71"/>
      <c r="D104" s="74"/>
      <c r="E104" s="76"/>
      <c r="F104" s="78"/>
      <c r="G104" s="74"/>
      <c r="H104" s="76"/>
      <c r="I104" s="80"/>
      <c r="J104" s="11" t="str">
        <f>Matiere_premiere[[#This Row],[Entrepot]]</f>
        <v>E3</v>
      </c>
      <c r="K104" s="9" t="b">
        <f>IF(Matiere_premiere[[#This Row],[INVENTAIRE]]&gt;0,TRUE,FALSE)</f>
        <v>1</v>
      </c>
      <c r="L104" s="65"/>
      <c r="M104" s="13" t="s">
        <v>119</v>
      </c>
      <c r="N104" s="16" t="s">
        <v>277</v>
      </c>
      <c r="O104" s="13" t="s">
        <v>276</v>
      </c>
      <c r="P104" s="13" t="s">
        <v>285</v>
      </c>
      <c r="Q104" s="55" t="s">
        <v>69</v>
      </c>
      <c r="R104" s="13" t="s">
        <v>73</v>
      </c>
      <c r="S104" s="14">
        <v>266</v>
      </c>
      <c r="T104" s="14"/>
      <c r="U104" s="14"/>
      <c r="V104" s="14">
        <f>SUM(Matiere_premiere[[#This Row],[INVENTAIRE]],-Matiere_premiere[[#This Row],[Entrée]],-Matiere_premiere[[#This Row],[Sortis]])</f>
        <v>266</v>
      </c>
      <c r="W104" s="50" t="str">
        <f>CONCATENATE(Matiere_premiere[[#This Row],[CODE COLEUR]],"_",Matiere_premiere[[#This Row],[COULEUR]],"_",Matiere_premiere[[#This Row],[CODE FAB]],"_",Matiere_premiere[[#This Row],[Num de Lot]])</f>
        <v>C04_TAUPE_NM05-04.00_S2023</v>
      </c>
    </row>
    <row r="105" spans="1:23" ht="19.7" customHeight="1" thickBot="1" x14ac:dyDescent="0.3">
      <c r="A105" s="69"/>
      <c r="B105" s="72"/>
      <c r="C105" s="72"/>
      <c r="D105" s="75"/>
      <c r="E105" s="77"/>
      <c r="F105" s="79"/>
      <c r="G105" s="75"/>
      <c r="H105" s="77"/>
      <c r="I105" s="81"/>
      <c r="J105" s="10" t="str">
        <f>Matiere_premiere[[#This Row],[Entrepot]]</f>
        <v>Usine</v>
      </c>
      <c r="K105" s="9" t="b">
        <f>IF(Matiere_premiere[[#This Row],[INVENTAIRE]]&gt;0,TRUE,FALSE)</f>
        <v>0</v>
      </c>
      <c r="L105" s="66"/>
      <c r="M105" s="13" t="s">
        <v>119</v>
      </c>
      <c r="N105" s="16" t="s">
        <v>277</v>
      </c>
      <c r="O105" s="13" t="s">
        <v>276</v>
      </c>
      <c r="P105" s="13" t="s">
        <v>285</v>
      </c>
      <c r="Q105" s="55" t="s">
        <v>69</v>
      </c>
      <c r="R105" s="13" t="s">
        <v>68</v>
      </c>
      <c r="S105" s="14">
        <v>0</v>
      </c>
      <c r="T105" s="14"/>
      <c r="U105" s="14"/>
      <c r="V105" s="14">
        <f>SUM(Matiere_premiere[[#This Row],[INVENTAIRE]],-Matiere_premiere[[#This Row],[Entrée]],-Matiere_premiere[[#This Row],[Sortis]])</f>
        <v>0</v>
      </c>
      <c r="W105" s="50" t="str">
        <f>CONCATENATE(Matiere_premiere[[#This Row],[CODE COLEUR]],"_",Matiere_premiere[[#This Row],[COULEUR]],"_",Matiere_premiere[[#This Row],[CODE FAB]],"_",Matiere_premiere[[#This Row],[Num de Lot]])</f>
        <v>C04_TAUPE_NM05-04.00_S2023</v>
      </c>
    </row>
    <row r="106" spans="1:23" ht="19.7" customHeight="1" thickTop="1" thickBot="1" x14ac:dyDescent="0.3">
      <c r="A106" s="67" t="str">
        <f>Matiere_premiere[[#This Row],[NUMERO METRIQUE]]</f>
        <v>NM05</v>
      </c>
      <c r="B106" s="70" t="str">
        <f>Matiere_premiere[[#This Row],[COULEUR]]</f>
        <v>BRUN</v>
      </c>
      <c r="C106" s="70" t="str">
        <f>Matiere_premiere[[#This Row],[CODE COLEUR]]</f>
        <v>C04</v>
      </c>
      <c r="D106" s="73" t="str">
        <f>Matiere_premiere[[#This Row],[CODE FAB]]</f>
        <v>NM05-04.02</v>
      </c>
      <c r="E106" s="76" t="e" vm="36">
        <f>_xlfn.IMAGE("https://api.qrserver.com/v1/create-qr-code/?size=100x100&amp;data=" &amp; D106)</f>
        <v>#VALUE!</v>
      </c>
      <c r="F106" s="78"/>
      <c r="G106" s="73">
        <f>Matiere_premiere[[#This Row],[Num de Lot]]</f>
        <v>60623</v>
      </c>
      <c r="H106" s="76" t="e" vm="37">
        <f>_xlfn.IMAGE("https://api.qrserver.com/v1/create-qr-code/?size=100x100&amp;data=" &amp; G106)</f>
        <v>#VALUE!</v>
      </c>
      <c r="I106" s="80"/>
      <c r="J106" s="12" t="str">
        <f>Matiere_premiere[[#This Row],[Entrepot]]</f>
        <v>E1</v>
      </c>
      <c r="K106" s="9" t="b">
        <f>IF(Matiere_premiere[[#This Row],[INVENTAIRE]]&gt;0,TRUE,FALSE)</f>
        <v>0</v>
      </c>
      <c r="L106" s="65"/>
      <c r="M106" s="8" t="s">
        <v>119</v>
      </c>
      <c r="N106" s="8" t="s">
        <v>279</v>
      </c>
      <c r="O106" s="8" t="s">
        <v>276</v>
      </c>
      <c r="P106" s="8" t="s">
        <v>284</v>
      </c>
      <c r="Q106" s="53">
        <v>60623</v>
      </c>
      <c r="R106" s="8" t="s">
        <v>75</v>
      </c>
      <c r="S106" s="7">
        <v>0</v>
      </c>
      <c r="T106" s="7"/>
      <c r="U106" s="7"/>
      <c r="V106" s="7">
        <f>SUM(Matiere_premiere[[#This Row],[INVENTAIRE]],-Matiere_premiere[[#This Row],[Entrée]],-Matiere_premiere[[#This Row],[Sortis]])</f>
        <v>0</v>
      </c>
      <c r="W106" s="50" t="str">
        <f>CONCATENATE(Matiere_premiere[[#This Row],[CODE COLEUR]],"_",Matiere_premiere[[#This Row],[COULEUR]],"_",Matiere_premiere[[#This Row],[CODE FAB]],"_",Matiere_premiere[[#This Row],[Num de Lot]])</f>
        <v>C04_BRUN_NM05-04.02_60623</v>
      </c>
    </row>
    <row r="107" spans="1:23" ht="19.7" customHeight="1" thickBot="1" x14ac:dyDescent="0.3">
      <c r="A107" s="68"/>
      <c r="B107" s="71"/>
      <c r="C107" s="71"/>
      <c r="D107" s="74"/>
      <c r="E107" s="76"/>
      <c r="F107" s="78"/>
      <c r="G107" s="74"/>
      <c r="H107" s="76"/>
      <c r="I107" s="80"/>
      <c r="J107" s="11" t="str">
        <f>Matiere_premiere[[#This Row],[Entrepot]]</f>
        <v>E2</v>
      </c>
      <c r="K107" s="9" t="b">
        <f>IF(Matiere_premiere[[#This Row],[INVENTAIRE]]&gt;0,TRUE,FALSE)</f>
        <v>1</v>
      </c>
      <c r="L107" s="65"/>
      <c r="M107" s="8" t="s">
        <v>119</v>
      </c>
      <c r="N107" s="8" t="s">
        <v>279</v>
      </c>
      <c r="O107" s="8" t="s">
        <v>276</v>
      </c>
      <c r="P107" s="8" t="s">
        <v>284</v>
      </c>
      <c r="Q107" s="53">
        <v>60623</v>
      </c>
      <c r="R107" s="8" t="s">
        <v>74</v>
      </c>
      <c r="S107" s="7">
        <v>154</v>
      </c>
      <c r="T107" s="7"/>
      <c r="U107" s="7"/>
      <c r="V107" s="7">
        <f>SUM(Matiere_premiere[[#This Row],[INVENTAIRE]],-Matiere_premiere[[#This Row],[Entrée]],-Matiere_premiere[[#This Row],[Sortis]])</f>
        <v>154</v>
      </c>
      <c r="W107" s="50" t="str">
        <f>CONCATENATE(Matiere_premiere[[#This Row],[CODE COLEUR]],"_",Matiere_premiere[[#This Row],[COULEUR]],"_",Matiere_premiere[[#This Row],[CODE FAB]],"_",Matiere_premiere[[#This Row],[Num de Lot]])</f>
        <v>C04_BRUN_NM05-04.02_60623</v>
      </c>
    </row>
    <row r="108" spans="1:23" ht="19.7" customHeight="1" thickBot="1" x14ac:dyDescent="0.3">
      <c r="A108" s="68"/>
      <c r="B108" s="71"/>
      <c r="C108" s="71"/>
      <c r="D108" s="74"/>
      <c r="E108" s="76"/>
      <c r="F108" s="78"/>
      <c r="G108" s="74"/>
      <c r="H108" s="76"/>
      <c r="I108" s="80"/>
      <c r="J108" s="11" t="str">
        <f>Matiere_premiere[[#This Row],[Entrepot]]</f>
        <v>E3</v>
      </c>
      <c r="K108" s="9" t="b">
        <f>IF(Matiere_premiere[[#This Row],[INVENTAIRE]]&gt;0,TRUE,FALSE)</f>
        <v>1</v>
      </c>
      <c r="L108" s="65"/>
      <c r="M108" s="8" t="s">
        <v>119</v>
      </c>
      <c r="N108" s="8" t="s">
        <v>279</v>
      </c>
      <c r="O108" s="8" t="s">
        <v>276</v>
      </c>
      <c r="P108" s="8" t="s">
        <v>284</v>
      </c>
      <c r="Q108" s="53">
        <v>60623</v>
      </c>
      <c r="R108" s="8" t="s">
        <v>73</v>
      </c>
      <c r="S108" s="7">
        <v>199.5</v>
      </c>
      <c r="T108" s="7"/>
      <c r="U108" s="7"/>
      <c r="V108" s="7">
        <f>SUM(Matiere_premiere[[#This Row],[INVENTAIRE]],-Matiere_premiere[[#This Row],[Entrée]],-Matiere_premiere[[#This Row],[Sortis]])</f>
        <v>199.5</v>
      </c>
      <c r="W108" s="50" t="str">
        <f>CONCATENATE(Matiere_premiere[[#This Row],[CODE COLEUR]],"_",Matiere_premiere[[#This Row],[COULEUR]],"_",Matiere_premiere[[#This Row],[CODE FAB]],"_",Matiere_premiere[[#This Row],[Num de Lot]])</f>
        <v>C04_BRUN_NM05-04.02_60623</v>
      </c>
    </row>
    <row r="109" spans="1:23" ht="19.7" customHeight="1" thickBot="1" x14ac:dyDescent="0.3">
      <c r="A109" s="69"/>
      <c r="B109" s="72"/>
      <c r="C109" s="72"/>
      <c r="D109" s="75"/>
      <c r="E109" s="77"/>
      <c r="F109" s="79"/>
      <c r="G109" s="75"/>
      <c r="H109" s="77"/>
      <c r="I109" s="81"/>
      <c r="J109" s="10" t="str">
        <f>Matiere_premiere[[#This Row],[Entrepot]]</f>
        <v>Usine</v>
      </c>
      <c r="K109" s="9" t="b">
        <f>IF(Matiere_premiere[[#This Row],[INVENTAIRE]]&gt;0,TRUE,FALSE)</f>
        <v>0</v>
      </c>
      <c r="L109" s="66"/>
      <c r="M109" s="8" t="s">
        <v>119</v>
      </c>
      <c r="N109" s="8" t="s">
        <v>279</v>
      </c>
      <c r="O109" s="8" t="s">
        <v>276</v>
      </c>
      <c r="P109" s="8" t="s">
        <v>284</v>
      </c>
      <c r="Q109" s="53">
        <v>60623</v>
      </c>
      <c r="R109" s="8" t="s">
        <v>68</v>
      </c>
      <c r="S109" s="7">
        <v>0</v>
      </c>
      <c r="T109" s="7"/>
      <c r="U109" s="7"/>
      <c r="V109" s="7">
        <f>SUM(Matiere_premiere[[#This Row],[INVENTAIRE]],-Matiere_premiere[[#This Row],[Entrée]],-Matiere_premiere[[#This Row],[Sortis]])</f>
        <v>0</v>
      </c>
      <c r="W109" s="50" t="str">
        <f>CONCATENATE(Matiere_premiere[[#This Row],[CODE COLEUR]],"_",Matiere_premiere[[#This Row],[COULEUR]],"_",Matiere_premiere[[#This Row],[CODE FAB]],"_",Matiere_premiere[[#This Row],[Num de Lot]])</f>
        <v>C04_BRUN_NM05-04.02_60623</v>
      </c>
    </row>
    <row r="110" spans="1:23" ht="19.7" customHeight="1" thickTop="1" thickBot="1" x14ac:dyDescent="0.3">
      <c r="A110" s="67" t="str">
        <f>Matiere_premiere[[#This Row],[NUMERO METRIQUE]]</f>
        <v>NM10</v>
      </c>
      <c r="B110" s="70" t="str">
        <f>Matiere_premiere[[#This Row],[COULEUR]]</f>
        <v>NATUREL</v>
      </c>
      <c r="C110" s="70" t="str">
        <f>Matiere_premiere[[#This Row],[CODE COLEUR]]</f>
        <v>C04</v>
      </c>
      <c r="D110" s="73" t="str">
        <f>Matiere_premiere[[#This Row],[CODE FAB]]</f>
        <v>NM10-04.01</v>
      </c>
      <c r="E110" s="76" t="e" vm="38">
        <f>_xlfn.IMAGE("https://api.qrserver.com/v1/create-qr-code/?size=100x100&amp;data=" &amp; D110)</f>
        <v>#VALUE!</v>
      </c>
      <c r="F110" s="78"/>
      <c r="G110" s="73">
        <f>Matiere_premiere[[#This Row],[Num de Lot]]</f>
        <v>59630</v>
      </c>
      <c r="H110" s="76" t="e" vm="39">
        <f>_xlfn.IMAGE("https://api.qrserver.com/v1/create-qr-code/?size=100x100&amp;data=" &amp; G110)</f>
        <v>#VALUE!</v>
      </c>
      <c r="I110" s="80"/>
      <c r="J110" s="12" t="str">
        <f>Matiere_premiere[[#This Row],[Entrepot]]</f>
        <v>E1</v>
      </c>
      <c r="K110" s="9" t="b">
        <f>IF(Matiere_premiere[[#This Row],[INVENTAIRE]]&gt;0,TRUE,FALSE)</f>
        <v>0</v>
      </c>
      <c r="L110" s="65"/>
      <c r="M110" s="13" t="s">
        <v>116</v>
      </c>
      <c r="N110" s="13" t="s">
        <v>281</v>
      </c>
      <c r="O110" s="13" t="s">
        <v>276</v>
      </c>
      <c r="P110" s="13" t="s">
        <v>283</v>
      </c>
      <c r="Q110" s="55">
        <v>59630</v>
      </c>
      <c r="R110" s="13" t="s">
        <v>75</v>
      </c>
      <c r="S110" s="14">
        <v>0</v>
      </c>
      <c r="T110" s="14"/>
      <c r="U110" s="14"/>
      <c r="V110" s="14">
        <f>SUM(Matiere_premiere[[#This Row],[INVENTAIRE]],-Matiere_premiere[[#This Row],[Entrée]],-Matiere_premiere[[#This Row],[Sortis]])</f>
        <v>0</v>
      </c>
      <c r="W110" s="50" t="str">
        <f>CONCATENATE(Matiere_premiere[[#This Row],[CODE COLEUR]],"_",Matiere_premiere[[#This Row],[COULEUR]],"_",Matiere_premiere[[#This Row],[CODE FAB]],"_",Matiere_premiere[[#This Row],[Num de Lot]])</f>
        <v>C04_NATUREL_NM10-04.01_59630</v>
      </c>
    </row>
    <row r="111" spans="1:23" ht="19.7" customHeight="1" thickBot="1" x14ac:dyDescent="0.3">
      <c r="A111" s="68"/>
      <c r="B111" s="71"/>
      <c r="C111" s="71"/>
      <c r="D111" s="74"/>
      <c r="E111" s="76"/>
      <c r="F111" s="78"/>
      <c r="G111" s="74"/>
      <c r="H111" s="76"/>
      <c r="I111" s="80"/>
      <c r="J111" s="11" t="str">
        <f>Matiere_premiere[[#This Row],[Entrepot]]</f>
        <v>E2</v>
      </c>
      <c r="K111" s="9" t="b">
        <f>IF(Matiere_premiere[[#This Row],[INVENTAIRE]]&gt;0,TRUE,FALSE)</f>
        <v>0</v>
      </c>
      <c r="L111" s="65"/>
      <c r="M111" s="13" t="s">
        <v>116</v>
      </c>
      <c r="N111" s="13" t="s">
        <v>281</v>
      </c>
      <c r="O111" s="13" t="s">
        <v>276</v>
      </c>
      <c r="P111" s="13" t="s">
        <v>283</v>
      </c>
      <c r="Q111" s="55">
        <v>59630</v>
      </c>
      <c r="R111" s="13" t="s">
        <v>74</v>
      </c>
      <c r="S111" s="14">
        <v>0</v>
      </c>
      <c r="T111" s="14"/>
      <c r="U111" s="14"/>
      <c r="V111" s="14">
        <f>SUM(Matiere_premiere[[#This Row],[INVENTAIRE]],-Matiere_premiere[[#This Row],[Entrée]],-Matiere_premiere[[#This Row],[Sortis]])</f>
        <v>0</v>
      </c>
      <c r="W111" s="50" t="str">
        <f>CONCATENATE(Matiere_premiere[[#This Row],[CODE COLEUR]],"_",Matiere_premiere[[#This Row],[COULEUR]],"_",Matiere_premiere[[#This Row],[CODE FAB]],"_",Matiere_premiere[[#This Row],[Num de Lot]])</f>
        <v>C04_NATUREL_NM10-04.01_59630</v>
      </c>
    </row>
    <row r="112" spans="1:23" ht="19.7" customHeight="1" thickBot="1" x14ac:dyDescent="0.3">
      <c r="A112" s="68"/>
      <c r="B112" s="71"/>
      <c r="C112" s="71"/>
      <c r="D112" s="74"/>
      <c r="E112" s="76"/>
      <c r="F112" s="78"/>
      <c r="G112" s="74"/>
      <c r="H112" s="76"/>
      <c r="I112" s="80"/>
      <c r="J112" s="11" t="str">
        <f>Matiere_premiere[[#This Row],[Entrepot]]</f>
        <v>E3</v>
      </c>
      <c r="K112" s="9" t="b">
        <f>IF(Matiere_premiere[[#This Row],[INVENTAIRE]]&gt;0,TRUE,FALSE)</f>
        <v>1</v>
      </c>
      <c r="L112" s="65"/>
      <c r="M112" s="13" t="s">
        <v>116</v>
      </c>
      <c r="N112" s="13" t="s">
        <v>281</v>
      </c>
      <c r="O112" s="13" t="s">
        <v>276</v>
      </c>
      <c r="P112" s="13" t="s">
        <v>283</v>
      </c>
      <c r="Q112" s="55">
        <v>59630</v>
      </c>
      <c r="R112" s="13" t="s">
        <v>73</v>
      </c>
      <c r="S112" s="14">
        <v>311.5</v>
      </c>
      <c r="T112" s="14"/>
      <c r="U112" s="14"/>
      <c r="V112" s="14">
        <f>SUM(Matiere_premiere[[#This Row],[INVENTAIRE]],-Matiere_premiere[[#This Row],[Entrée]],-Matiere_premiere[[#This Row],[Sortis]])</f>
        <v>311.5</v>
      </c>
      <c r="W112" s="50" t="str">
        <f>CONCATENATE(Matiere_premiere[[#This Row],[CODE COLEUR]],"_",Matiere_premiere[[#This Row],[COULEUR]],"_",Matiere_premiere[[#This Row],[CODE FAB]],"_",Matiere_premiere[[#This Row],[Num de Lot]])</f>
        <v>C04_NATUREL_NM10-04.01_59630</v>
      </c>
    </row>
    <row r="113" spans="1:23" ht="19.7" customHeight="1" thickBot="1" x14ac:dyDescent="0.3">
      <c r="A113" s="69"/>
      <c r="B113" s="72"/>
      <c r="C113" s="72"/>
      <c r="D113" s="75"/>
      <c r="E113" s="77"/>
      <c r="F113" s="79"/>
      <c r="G113" s="75"/>
      <c r="H113" s="77"/>
      <c r="I113" s="81"/>
      <c r="J113" s="10" t="str">
        <f>Matiere_premiere[[#This Row],[Entrepot]]</f>
        <v>Usine</v>
      </c>
      <c r="K113" s="9" t="b">
        <f>IF(Matiere_premiere[[#This Row],[INVENTAIRE]]&gt;0,TRUE,FALSE)</f>
        <v>0</v>
      </c>
      <c r="L113" s="66"/>
      <c r="M113" s="13" t="s">
        <v>116</v>
      </c>
      <c r="N113" s="13" t="s">
        <v>281</v>
      </c>
      <c r="O113" s="13" t="s">
        <v>276</v>
      </c>
      <c r="P113" s="13" t="s">
        <v>283</v>
      </c>
      <c r="Q113" s="55">
        <v>59630</v>
      </c>
      <c r="R113" s="13" t="s">
        <v>68</v>
      </c>
      <c r="S113" s="14">
        <v>0</v>
      </c>
      <c r="T113" s="14"/>
      <c r="U113" s="14"/>
      <c r="V113" s="14">
        <f>SUM(Matiere_premiere[[#This Row],[INVENTAIRE]],-Matiere_premiere[[#This Row],[Entrée]],-Matiere_premiere[[#This Row],[Sortis]])</f>
        <v>0</v>
      </c>
      <c r="W113" s="50" t="str">
        <f>CONCATENATE(Matiere_premiere[[#This Row],[CODE COLEUR]],"_",Matiere_premiere[[#This Row],[COULEUR]],"_",Matiere_premiere[[#This Row],[CODE FAB]],"_",Matiere_premiere[[#This Row],[Num de Lot]])</f>
        <v>C04_NATUREL_NM10-04.01_59630</v>
      </c>
    </row>
    <row r="114" spans="1:23" ht="19.7" customHeight="1" thickTop="1" thickBot="1" x14ac:dyDescent="0.3">
      <c r="A114" s="67" t="str">
        <f>Matiere_premiere[[#This Row],[NUMERO METRIQUE]]</f>
        <v>NM15</v>
      </c>
      <c r="B114" s="70" t="str">
        <f>Matiere_premiere[[#This Row],[COULEUR]]</f>
        <v>TAUPE</v>
      </c>
      <c r="C114" s="70" t="str">
        <f>Matiere_premiere[[#This Row],[CODE COLEUR]]</f>
        <v>C04</v>
      </c>
      <c r="D114" s="73" t="str">
        <f>Matiere_premiere[[#This Row],[CODE FAB]]</f>
        <v>NM15-04.00</v>
      </c>
      <c r="E114" s="76" t="e" vm="40">
        <f>_xlfn.IMAGE("https://api.qrserver.com/v1/create-qr-code/?size=100x100&amp;data=" &amp; D114)</f>
        <v>#VALUE!</v>
      </c>
      <c r="F114" s="78"/>
      <c r="G114" s="73">
        <f>Matiere_premiere[[#This Row],[Num de Lot]]</f>
        <v>65370</v>
      </c>
      <c r="H114" s="76" t="e" vm="41">
        <f>_xlfn.IMAGE("https://api.qrserver.com/v1/create-qr-code/?size=100x100&amp;data=" &amp; G114)</f>
        <v>#VALUE!</v>
      </c>
      <c r="I114" s="80"/>
      <c r="J114" s="12" t="str">
        <f>Matiere_premiere[[#This Row],[Entrepot]]</f>
        <v>E1</v>
      </c>
      <c r="K114" s="9" t="b">
        <f>IF(Matiere_premiere[[#This Row],[INVENTAIRE]]&gt;0,TRUE,FALSE)</f>
        <v>0</v>
      </c>
      <c r="L114" s="65"/>
      <c r="M114" s="15" t="s">
        <v>103</v>
      </c>
      <c r="N114" s="15" t="s">
        <v>277</v>
      </c>
      <c r="O114" s="15" t="s">
        <v>276</v>
      </c>
      <c r="P114" s="15" t="s">
        <v>282</v>
      </c>
      <c r="Q114" s="56">
        <v>65370</v>
      </c>
      <c r="R114" s="8" t="s">
        <v>75</v>
      </c>
      <c r="S114" s="7">
        <v>0</v>
      </c>
      <c r="T114" s="7"/>
      <c r="U114" s="7"/>
      <c r="V114" s="7">
        <f>SUM(Matiere_premiere[[#This Row],[INVENTAIRE]],-Matiere_premiere[[#This Row],[Entrée]],-Matiere_premiere[[#This Row],[Sortis]])</f>
        <v>0</v>
      </c>
      <c r="W114" s="50" t="str">
        <f>CONCATENATE(Matiere_premiere[[#This Row],[CODE COLEUR]],"_",Matiere_premiere[[#This Row],[COULEUR]],"_",Matiere_premiere[[#This Row],[CODE FAB]],"_",Matiere_premiere[[#This Row],[Num de Lot]])</f>
        <v>C04_TAUPE_NM15-04.00_65370</v>
      </c>
    </row>
    <row r="115" spans="1:23" ht="19.7" customHeight="1" thickBot="1" x14ac:dyDescent="0.3">
      <c r="A115" s="68"/>
      <c r="B115" s="71"/>
      <c r="C115" s="71"/>
      <c r="D115" s="74"/>
      <c r="E115" s="76"/>
      <c r="F115" s="78"/>
      <c r="G115" s="74"/>
      <c r="H115" s="76"/>
      <c r="I115" s="80"/>
      <c r="J115" s="11" t="str">
        <f>Matiere_premiere[[#This Row],[Entrepot]]</f>
        <v>E2</v>
      </c>
      <c r="K115" s="9" t="b">
        <f>IF(Matiere_premiere[[#This Row],[INVENTAIRE]]&gt;0,TRUE,FALSE)</f>
        <v>0</v>
      </c>
      <c r="L115" s="65"/>
      <c r="M115" s="15" t="s">
        <v>103</v>
      </c>
      <c r="N115" s="15" t="s">
        <v>277</v>
      </c>
      <c r="O115" s="15" t="s">
        <v>276</v>
      </c>
      <c r="P115" s="15" t="s">
        <v>282</v>
      </c>
      <c r="Q115" s="56">
        <v>65370</v>
      </c>
      <c r="R115" s="8" t="s">
        <v>74</v>
      </c>
      <c r="S115" s="7">
        <v>0</v>
      </c>
      <c r="T115" s="7"/>
      <c r="U115" s="7"/>
      <c r="V115" s="7">
        <f>SUM(Matiere_premiere[[#This Row],[INVENTAIRE]],-Matiere_premiere[[#This Row],[Entrée]],-Matiere_premiere[[#This Row],[Sortis]])</f>
        <v>0</v>
      </c>
      <c r="W115" s="50" t="str">
        <f>CONCATENATE(Matiere_premiere[[#This Row],[CODE COLEUR]],"_",Matiere_premiere[[#This Row],[COULEUR]],"_",Matiere_premiere[[#This Row],[CODE FAB]],"_",Matiere_premiere[[#This Row],[Num de Lot]])</f>
        <v>C04_TAUPE_NM15-04.00_65370</v>
      </c>
    </row>
    <row r="116" spans="1:23" ht="19.7" customHeight="1" thickBot="1" x14ac:dyDescent="0.3">
      <c r="A116" s="68"/>
      <c r="B116" s="71"/>
      <c r="C116" s="71"/>
      <c r="D116" s="74"/>
      <c r="E116" s="76"/>
      <c r="F116" s="78"/>
      <c r="G116" s="74"/>
      <c r="H116" s="76"/>
      <c r="I116" s="80"/>
      <c r="J116" s="11" t="str">
        <f>Matiere_premiere[[#This Row],[Entrepot]]</f>
        <v>E3</v>
      </c>
      <c r="K116" s="9" t="b">
        <f>IF(Matiere_premiere[[#This Row],[INVENTAIRE]]&gt;0,TRUE,FALSE)</f>
        <v>0</v>
      </c>
      <c r="L116" s="65"/>
      <c r="M116" s="15" t="s">
        <v>103</v>
      </c>
      <c r="N116" s="15" t="s">
        <v>277</v>
      </c>
      <c r="O116" s="15" t="s">
        <v>276</v>
      </c>
      <c r="P116" s="15" t="s">
        <v>282</v>
      </c>
      <c r="Q116" s="56">
        <v>65370</v>
      </c>
      <c r="R116" s="8" t="s">
        <v>73</v>
      </c>
      <c r="S116" s="7">
        <v>0</v>
      </c>
      <c r="T116" s="7"/>
      <c r="U116" s="7"/>
      <c r="V116" s="7">
        <f>SUM(Matiere_premiere[[#This Row],[INVENTAIRE]],-Matiere_premiere[[#This Row],[Entrée]],-Matiere_premiere[[#This Row],[Sortis]])</f>
        <v>0</v>
      </c>
      <c r="W116" s="50" t="str">
        <f>CONCATENATE(Matiere_premiere[[#This Row],[CODE COLEUR]],"_",Matiere_premiere[[#This Row],[COULEUR]],"_",Matiere_premiere[[#This Row],[CODE FAB]],"_",Matiere_premiere[[#This Row],[Num de Lot]])</f>
        <v>C04_TAUPE_NM15-04.00_65370</v>
      </c>
    </row>
    <row r="117" spans="1:23" ht="19.7" customHeight="1" thickBot="1" x14ac:dyDescent="0.3">
      <c r="A117" s="69"/>
      <c r="B117" s="72"/>
      <c r="C117" s="72"/>
      <c r="D117" s="75"/>
      <c r="E117" s="77"/>
      <c r="F117" s="79"/>
      <c r="G117" s="75"/>
      <c r="H117" s="77"/>
      <c r="I117" s="81"/>
      <c r="J117" s="10" t="str">
        <f>Matiere_premiere[[#This Row],[Entrepot]]</f>
        <v>Usine</v>
      </c>
      <c r="K117" s="9" t="b">
        <f>IF(Matiere_premiere[[#This Row],[INVENTAIRE]]&gt;0,TRUE,FALSE)</f>
        <v>0</v>
      </c>
      <c r="L117" s="66"/>
      <c r="M117" s="8" t="s">
        <v>103</v>
      </c>
      <c r="N117" s="8" t="s">
        <v>277</v>
      </c>
      <c r="O117" s="8" t="s">
        <v>276</v>
      </c>
      <c r="P117" s="8" t="s">
        <v>282</v>
      </c>
      <c r="Q117" s="53">
        <v>65370</v>
      </c>
      <c r="R117" s="8" t="s">
        <v>68</v>
      </c>
      <c r="S117" s="7">
        <v>0</v>
      </c>
      <c r="T117" s="7"/>
      <c r="U117" s="7"/>
      <c r="V117" s="7">
        <f>SUM(Matiere_premiere[[#This Row],[INVENTAIRE]],-Matiere_premiere[[#This Row],[Entrée]],-Matiere_premiere[[#This Row],[Sortis]])</f>
        <v>0</v>
      </c>
      <c r="W117" s="50" t="str">
        <f>CONCATENATE(Matiere_premiere[[#This Row],[CODE COLEUR]],"_",Matiere_premiere[[#This Row],[COULEUR]],"_",Matiere_premiere[[#This Row],[CODE FAB]],"_",Matiere_premiere[[#This Row],[Num de Lot]])</f>
        <v>C04_TAUPE_NM15-04.00_65370</v>
      </c>
    </row>
    <row r="118" spans="1:23" ht="19.7" customHeight="1" thickTop="1" thickBot="1" x14ac:dyDescent="0.3">
      <c r="A118" s="67" t="str">
        <f>Matiere_premiere[[#This Row],[NUMERO METRIQUE]]</f>
        <v>NM15</v>
      </c>
      <c r="B118" s="70" t="str">
        <f>Matiere_premiere[[#This Row],[COULEUR]]</f>
        <v>TAUPE</v>
      </c>
      <c r="C118" s="70" t="str">
        <f>Matiere_premiere[[#This Row],[CODE COLEUR]]</f>
        <v>C04</v>
      </c>
      <c r="D118" s="73" t="str">
        <f>Matiere_premiere[[#This Row],[CODE FAB]]</f>
        <v>NM15-04.00</v>
      </c>
      <c r="E118" s="76" t="e" vm="40">
        <f>_xlfn.IMAGE("https://api.qrserver.com/v1/create-qr-code/?size=100x100&amp;data=" &amp; D118)</f>
        <v>#VALUE!</v>
      </c>
      <c r="F118" s="78"/>
      <c r="G118" s="73" t="str">
        <f>Matiere_premiere[[#This Row],[Num de Lot]]</f>
        <v>S2023</v>
      </c>
      <c r="H118" s="76" t="e" vm="2">
        <f>_xlfn.IMAGE("https://api.qrserver.com/v1/create-qr-code/?size=100x100&amp;data=" &amp; G118)</f>
        <v>#VALUE!</v>
      </c>
      <c r="I118" s="80"/>
      <c r="J118" s="12" t="str">
        <f>Matiere_premiere[[#This Row],[Entrepot]]</f>
        <v>E1</v>
      </c>
      <c r="K118" s="9" t="b">
        <f>IF(Matiere_premiere[[#This Row],[INVENTAIRE]]&gt;0,TRUE,FALSE)</f>
        <v>1</v>
      </c>
      <c r="L118" s="65"/>
      <c r="M118" s="13" t="s">
        <v>103</v>
      </c>
      <c r="N118" s="13" t="s">
        <v>277</v>
      </c>
      <c r="O118" s="13" t="s">
        <v>276</v>
      </c>
      <c r="P118" s="13" t="s">
        <v>282</v>
      </c>
      <c r="Q118" s="55" t="s">
        <v>69</v>
      </c>
      <c r="R118" s="13" t="s">
        <v>75</v>
      </c>
      <c r="S118" s="14">
        <v>60</v>
      </c>
      <c r="T118" s="14"/>
      <c r="U118" s="14"/>
      <c r="V118" s="14">
        <f>SUM(Matiere_premiere[[#This Row],[INVENTAIRE]],-Matiere_premiere[[#This Row],[Entrée]],-Matiere_premiere[[#This Row],[Sortis]])</f>
        <v>60</v>
      </c>
      <c r="W118" s="50" t="str">
        <f>CONCATENATE(Matiere_premiere[[#This Row],[CODE COLEUR]],"_",Matiere_premiere[[#This Row],[COULEUR]],"_",Matiere_premiere[[#This Row],[CODE FAB]],"_",Matiere_premiere[[#This Row],[Num de Lot]])</f>
        <v>C04_TAUPE_NM15-04.00_S2023</v>
      </c>
    </row>
    <row r="119" spans="1:23" ht="19.7" customHeight="1" thickBot="1" x14ac:dyDescent="0.3">
      <c r="A119" s="68"/>
      <c r="B119" s="71"/>
      <c r="C119" s="71"/>
      <c r="D119" s="74"/>
      <c r="E119" s="76"/>
      <c r="F119" s="78"/>
      <c r="G119" s="74"/>
      <c r="H119" s="76"/>
      <c r="I119" s="80"/>
      <c r="J119" s="11" t="str">
        <f>Matiere_premiere[[#This Row],[Entrepot]]</f>
        <v>E2</v>
      </c>
      <c r="K119" s="9" t="b">
        <f>IF(Matiere_premiere[[#This Row],[INVENTAIRE]]&gt;0,TRUE,FALSE)</f>
        <v>0</v>
      </c>
      <c r="L119" s="65"/>
      <c r="M119" s="13" t="s">
        <v>103</v>
      </c>
      <c r="N119" s="13" t="s">
        <v>277</v>
      </c>
      <c r="O119" s="13" t="s">
        <v>276</v>
      </c>
      <c r="P119" s="13" t="s">
        <v>282</v>
      </c>
      <c r="Q119" s="55" t="s">
        <v>69</v>
      </c>
      <c r="R119" s="13" t="s">
        <v>74</v>
      </c>
      <c r="S119" s="14">
        <v>0</v>
      </c>
      <c r="T119" s="14"/>
      <c r="U119" s="14"/>
      <c r="V119" s="14">
        <f>SUM(Matiere_premiere[[#This Row],[INVENTAIRE]],-Matiere_premiere[[#This Row],[Entrée]],-Matiere_premiere[[#This Row],[Sortis]])</f>
        <v>0</v>
      </c>
      <c r="W119" s="50" t="str">
        <f>CONCATENATE(Matiere_premiere[[#This Row],[CODE COLEUR]],"_",Matiere_premiere[[#This Row],[COULEUR]],"_",Matiere_premiere[[#This Row],[CODE FAB]],"_",Matiere_premiere[[#This Row],[Num de Lot]])</f>
        <v>C04_TAUPE_NM15-04.00_S2023</v>
      </c>
    </row>
    <row r="120" spans="1:23" ht="19.7" customHeight="1" thickBot="1" x14ac:dyDescent="0.3">
      <c r="A120" s="68"/>
      <c r="B120" s="71"/>
      <c r="C120" s="71"/>
      <c r="D120" s="74"/>
      <c r="E120" s="76"/>
      <c r="F120" s="78"/>
      <c r="G120" s="74"/>
      <c r="H120" s="76"/>
      <c r="I120" s="80"/>
      <c r="J120" s="11" t="str">
        <f>Matiere_premiere[[#This Row],[Entrepot]]</f>
        <v>E3</v>
      </c>
      <c r="K120" s="9" t="b">
        <f>IF(Matiere_premiere[[#This Row],[INVENTAIRE]]&gt;0,TRUE,FALSE)</f>
        <v>0</v>
      </c>
      <c r="L120" s="65"/>
      <c r="M120" s="13" t="s">
        <v>103</v>
      </c>
      <c r="N120" s="13" t="s">
        <v>277</v>
      </c>
      <c r="O120" s="13" t="s">
        <v>276</v>
      </c>
      <c r="P120" s="13" t="s">
        <v>282</v>
      </c>
      <c r="Q120" s="55" t="s">
        <v>69</v>
      </c>
      <c r="R120" s="13" t="s">
        <v>73</v>
      </c>
      <c r="S120" s="14">
        <v>0</v>
      </c>
      <c r="T120" s="14"/>
      <c r="U120" s="14"/>
      <c r="V120" s="14">
        <f>SUM(Matiere_premiere[[#This Row],[INVENTAIRE]],-Matiere_premiere[[#This Row],[Entrée]],-Matiere_premiere[[#This Row],[Sortis]])</f>
        <v>0</v>
      </c>
      <c r="W120" s="50" t="str">
        <f>CONCATENATE(Matiere_premiere[[#This Row],[CODE COLEUR]],"_",Matiere_premiere[[#This Row],[COULEUR]],"_",Matiere_premiere[[#This Row],[CODE FAB]],"_",Matiere_premiere[[#This Row],[Num de Lot]])</f>
        <v>C04_TAUPE_NM15-04.00_S2023</v>
      </c>
    </row>
    <row r="121" spans="1:23" ht="19.7" customHeight="1" thickBot="1" x14ac:dyDescent="0.3">
      <c r="A121" s="69"/>
      <c r="B121" s="72"/>
      <c r="C121" s="72"/>
      <c r="D121" s="75"/>
      <c r="E121" s="77"/>
      <c r="F121" s="79"/>
      <c r="G121" s="75"/>
      <c r="H121" s="77"/>
      <c r="I121" s="81"/>
      <c r="J121" s="10" t="str">
        <f>Matiere_premiere[[#This Row],[Entrepot]]</f>
        <v>Usine</v>
      </c>
      <c r="K121" s="9" t="b">
        <f>IF(Matiere_premiere[[#This Row],[INVENTAIRE]]&gt;0,TRUE,FALSE)</f>
        <v>1</v>
      </c>
      <c r="L121" s="66"/>
      <c r="M121" s="13" t="s">
        <v>103</v>
      </c>
      <c r="N121" s="13" t="s">
        <v>277</v>
      </c>
      <c r="O121" s="13" t="s">
        <v>276</v>
      </c>
      <c r="P121" s="13" t="s">
        <v>282</v>
      </c>
      <c r="Q121" s="55" t="s">
        <v>69</v>
      </c>
      <c r="R121" s="13" t="s">
        <v>68</v>
      </c>
      <c r="S121" s="14">
        <v>211</v>
      </c>
      <c r="T121" s="14"/>
      <c r="U121" s="14"/>
      <c r="V121" s="14">
        <f>SUM(Matiere_premiere[[#This Row],[INVENTAIRE]],-Matiere_premiere[[#This Row],[Entrée]],-Matiere_premiere[[#This Row],[Sortis]])</f>
        <v>211</v>
      </c>
      <c r="W121" s="50" t="str">
        <f>CONCATENATE(Matiere_premiere[[#This Row],[CODE COLEUR]],"_",Matiere_premiere[[#This Row],[COULEUR]],"_",Matiere_premiere[[#This Row],[CODE FAB]],"_",Matiere_premiere[[#This Row],[Num de Lot]])</f>
        <v>C04_TAUPE_NM15-04.00_S2023</v>
      </c>
    </row>
    <row r="122" spans="1:23" ht="19.7" customHeight="1" thickTop="1" thickBot="1" x14ac:dyDescent="0.3">
      <c r="A122" s="67" t="str">
        <f>Matiere_premiere[[#This Row],[NUMERO METRIQUE]]</f>
        <v>NM15</v>
      </c>
      <c r="B122" s="70" t="str">
        <f>Matiere_premiere[[#This Row],[COULEUR]]</f>
        <v>NATUREL</v>
      </c>
      <c r="C122" s="70" t="str">
        <f>Matiere_premiere[[#This Row],[CODE COLEUR]]</f>
        <v>C04</v>
      </c>
      <c r="D122" s="73" t="str">
        <f>Matiere_premiere[[#This Row],[CODE FAB]]</f>
        <v>NM15-04.01</v>
      </c>
      <c r="E122" s="76" t="e" vm="42">
        <f>_xlfn.IMAGE("https://api.qrserver.com/v1/create-qr-code/?size=100x100&amp;data=" &amp; D122)</f>
        <v>#VALUE!</v>
      </c>
      <c r="F122" s="78"/>
      <c r="G122" s="73">
        <f>Matiere_premiere[[#This Row],[Num de Lot]]</f>
        <v>61723</v>
      </c>
      <c r="H122" s="76" t="e" vm="43">
        <f>_xlfn.IMAGE("https://api.qrserver.com/v1/create-qr-code/?size=100x100&amp;data=" &amp; G122)</f>
        <v>#VALUE!</v>
      </c>
      <c r="I122" s="80"/>
      <c r="J122" s="12" t="str">
        <f>Matiere_premiere[[#This Row],[Entrepot]]</f>
        <v>E1</v>
      </c>
      <c r="K122" s="9" t="b">
        <f>IF(Matiere_premiere[[#This Row],[INVENTAIRE]]&gt;0,TRUE,FALSE)</f>
        <v>0</v>
      </c>
      <c r="L122" s="65"/>
      <c r="M122" s="8" t="s">
        <v>103</v>
      </c>
      <c r="N122" s="8" t="s">
        <v>281</v>
      </c>
      <c r="O122" s="8" t="s">
        <v>276</v>
      </c>
      <c r="P122" s="8" t="s">
        <v>280</v>
      </c>
      <c r="Q122" s="53">
        <v>61723</v>
      </c>
      <c r="R122" s="8" t="s">
        <v>75</v>
      </c>
      <c r="S122" s="7">
        <v>0</v>
      </c>
      <c r="T122" s="7"/>
      <c r="U122" s="7"/>
      <c r="V122" s="7">
        <f>SUM(Matiere_premiere[[#This Row],[INVENTAIRE]],-Matiere_premiere[[#This Row],[Entrée]],-Matiere_premiere[[#This Row],[Sortis]])</f>
        <v>0</v>
      </c>
      <c r="W122" s="50" t="str">
        <f>CONCATENATE(Matiere_premiere[[#This Row],[CODE COLEUR]],"_",Matiere_premiere[[#This Row],[COULEUR]],"_",Matiere_premiere[[#This Row],[CODE FAB]],"_",Matiere_premiere[[#This Row],[Num de Lot]])</f>
        <v>C04_NATUREL_NM15-04.01_61723</v>
      </c>
    </row>
    <row r="123" spans="1:23" ht="19.7" customHeight="1" thickBot="1" x14ac:dyDescent="0.3">
      <c r="A123" s="68"/>
      <c r="B123" s="71"/>
      <c r="C123" s="71"/>
      <c r="D123" s="74"/>
      <c r="E123" s="76"/>
      <c r="F123" s="78"/>
      <c r="G123" s="74"/>
      <c r="H123" s="76"/>
      <c r="I123" s="80"/>
      <c r="J123" s="11" t="str">
        <f>Matiere_premiere[[#This Row],[Entrepot]]</f>
        <v>E2</v>
      </c>
      <c r="K123" s="9" t="b">
        <f>IF(Matiere_premiere[[#This Row],[INVENTAIRE]]&gt;0,TRUE,FALSE)</f>
        <v>0</v>
      </c>
      <c r="L123" s="65"/>
      <c r="M123" s="8" t="s">
        <v>103</v>
      </c>
      <c r="N123" s="8" t="s">
        <v>281</v>
      </c>
      <c r="O123" s="8" t="s">
        <v>276</v>
      </c>
      <c r="P123" s="8" t="s">
        <v>280</v>
      </c>
      <c r="Q123" s="53">
        <v>61723</v>
      </c>
      <c r="R123" s="8" t="s">
        <v>74</v>
      </c>
      <c r="S123" s="7">
        <v>0</v>
      </c>
      <c r="T123" s="7"/>
      <c r="U123" s="7"/>
      <c r="V123" s="7">
        <f>SUM(Matiere_premiere[[#This Row],[INVENTAIRE]],-Matiere_premiere[[#This Row],[Entrée]],-Matiere_premiere[[#This Row],[Sortis]])</f>
        <v>0</v>
      </c>
      <c r="W123" s="50" t="str">
        <f>CONCATENATE(Matiere_premiere[[#This Row],[CODE COLEUR]],"_",Matiere_premiere[[#This Row],[COULEUR]],"_",Matiere_premiere[[#This Row],[CODE FAB]],"_",Matiere_premiere[[#This Row],[Num de Lot]])</f>
        <v>C04_NATUREL_NM15-04.01_61723</v>
      </c>
    </row>
    <row r="124" spans="1:23" ht="19.7" customHeight="1" thickBot="1" x14ac:dyDescent="0.3">
      <c r="A124" s="68"/>
      <c r="B124" s="71"/>
      <c r="C124" s="71"/>
      <c r="D124" s="74"/>
      <c r="E124" s="76"/>
      <c r="F124" s="78"/>
      <c r="G124" s="74"/>
      <c r="H124" s="76"/>
      <c r="I124" s="80"/>
      <c r="J124" s="11" t="str">
        <f>Matiere_premiere[[#This Row],[Entrepot]]</f>
        <v>E3</v>
      </c>
      <c r="K124" s="9" t="b">
        <f>IF(Matiere_premiere[[#This Row],[INVENTAIRE]]&gt;0,TRUE,FALSE)</f>
        <v>0</v>
      </c>
      <c r="L124" s="65"/>
      <c r="M124" s="8" t="s">
        <v>103</v>
      </c>
      <c r="N124" s="8" t="s">
        <v>281</v>
      </c>
      <c r="O124" s="8" t="s">
        <v>276</v>
      </c>
      <c r="P124" s="8" t="s">
        <v>280</v>
      </c>
      <c r="Q124" s="53">
        <v>61723</v>
      </c>
      <c r="R124" s="8" t="s">
        <v>73</v>
      </c>
      <c r="S124" s="7">
        <v>0</v>
      </c>
      <c r="T124" s="7"/>
      <c r="U124" s="7"/>
      <c r="V124" s="7">
        <f>SUM(Matiere_premiere[[#This Row],[INVENTAIRE]],-Matiere_premiere[[#This Row],[Entrée]],-Matiere_premiere[[#This Row],[Sortis]])</f>
        <v>0</v>
      </c>
      <c r="W124" s="50" t="str">
        <f>CONCATENATE(Matiere_premiere[[#This Row],[CODE COLEUR]],"_",Matiere_premiere[[#This Row],[COULEUR]],"_",Matiere_premiere[[#This Row],[CODE FAB]],"_",Matiere_premiere[[#This Row],[Num de Lot]])</f>
        <v>C04_NATUREL_NM15-04.01_61723</v>
      </c>
    </row>
    <row r="125" spans="1:23" ht="19.7" customHeight="1" thickBot="1" x14ac:dyDescent="0.3">
      <c r="A125" s="69"/>
      <c r="B125" s="72"/>
      <c r="C125" s="72"/>
      <c r="D125" s="75"/>
      <c r="E125" s="77"/>
      <c r="F125" s="79"/>
      <c r="G125" s="75"/>
      <c r="H125" s="77"/>
      <c r="I125" s="81"/>
      <c r="J125" s="10" t="str">
        <f>Matiere_premiere[[#This Row],[Entrepot]]</f>
        <v>Usine</v>
      </c>
      <c r="K125" s="9" t="b">
        <f>IF(Matiere_premiere[[#This Row],[INVENTAIRE]]&gt;0,TRUE,FALSE)</f>
        <v>0</v>
      </c>
      <c r="L125" s="66"/>
      <c r="M125" s="8" t="s">
        <v>103</v>
      </c>
      <c r="N125" s="8" t="s">
        <v>281</v>
      </c>
      <c r="O125" s="8" t="s">
        <v>276</v>
      </c>
      <c r="P125" s="8" t="s">
        <v>280</v>
      </c>
      <c r="Q125" s="53">
        <v>61723</v>
      </c>
      <c r="R125" s="8" t="s">
        <v>68</v>
      </c>
      <c r="S125" s="7">
        <v>0</v>
      </c>
      <c r="T125" s="7"/>
      <c r="U125" s="7"/>
      <c r="V125" s="7">
        <f>SUM(Matiere_premiere[[#This Row],[INVENTAIRE]],-Matiere_premiere[[#This Row],[Entrée]],-Matiere_premiere[[#This Row],[Sortis]])</f>
        <v>0</v>
      </c>
      <c r="W125" s="50" t="str">
        <f>CONCATENATE(Matiere_premiere[[#This Row],[CODE COLEUR]],"_",Matiere_premiere[[#This Row],[COULEUR]],"_",Matiere_premiere[[#This Row],[CODE FAB]],"_",Matiere_premiere[[#This Row],[Num de Lot]])</f>
        <v>C04_NATUREL_NM15-04.01_61723</v>
      </c>
    </row>
    <row r="126" spans="1:23" ht="19.7" customHeight="1" thickTop="1" thickBot="1" x14ac:dyDescent="0.3">
      <c r="A126" s="67" t="str">
        <f>Matiere_premiere[[#This Row],[NUMERO METRIQUE]]</f>
        <v>NM15</v>
      </c>
      <c r="B126" s="70" t="str">
        <f>Matiere_premiere[[#This Row],[COULEUR]]</f>
        <v>NATUREL</v>
      </c>
      <c r="C126" s="70" t="str">
        <f>Matiere_premiere[[#This Row],[CODE COLEUR]]</f>
        <v>C04</v>
      </c>
      <c r="D126" s="73" t="str">
        <f>Matiere_premiere[[#This Row],[CODE FAB]]</f>
        <v>NM15-04.01</v>
      </c>
      <c r="E126" s="76" t="e" vm="42">
        <f>_xlfn.IMAGE("https://api.qrserver.com/v1/create-qr-code/?size=100x100&amp;data=" &amp; D126)</f>
        <v>#VALUE!</v>
      </c>
      <c r="F126" s="78"/>
      <c r="G126" s="73">
        <f>Matiere_premiere[[#This Row],[Num de Lot]]</f>
        <v>65437</v>
      </c>
      <c r="H126" s="76" t="e" vm="44">
        <f>_xlfn.IMAGE("https://api.qrserver.com/v1/create-qr-code/?size=100x100&amp;data=" &amp; G126)</f>
        <v>#VALUE!</v>
      </c>
      <c r="I126" s="80"/>
      <c r="J126" s="12" t="str">
        <f>Matiere_premiere[[#This Row],[Entrepot]]</f>
        <v>E1</v>
      </c>
      <c r="K126" s="9" t="b">
        <f>IF(Matiere_premiere[[#This Row],[INVENTAIRE]]&gt;0,TRUE,FALSE)</f>
        <v>1</v>
      </c>
      <c r="L126" s="65"/>
      <c r="M126" s="16" t="s">
        <v>103</v>
      </c>
      <c r="N126" s="16" t="s">
        <v>281</v>
      </c>
      <c r="O126" s="16" t="s">
        <v>276</v>
      </c>
      <c r="P126" s="16" t="s">
        <v>280</v>
      </c>
      <c r="Q126" s="54">
        <v>65437</v>
      </c>
      <c r="R126" s="13" t="s">
        <v>75</v>
      </c>
      <c r="S126" s="14">
        <v>634.94000000000005</v>
      </c>
      <c r="T126" s="14"/>
      <c r="U126" s="14"/>
      <c r="V126" s="14">
        <f>SUM(Matiere_premiere[[#This Row],[INVENTAIRE]],-Matiere_premiere[[#This Row],[Entrée]],-Matiere_premiere[[#This Row],[Sortis]])</f>
        <v>634.94000000000005</v>
      </c>
      <c r="W126" s="50" t="str">
        <f>CONCATENATE(Matiere_premiere[[#This Row],[CODE COLEUR]],"_",Matiere_premiere[[#This Row],[COULEUR]],"_",Matiere_premiere[[#This Row],[CODE FAB]],"_",Matiere_premiere[[#This Row],[Num de Lot]])</f>
        <v>C04_NATUREL_NM15-04.01_65437</v>
      </c>
    </row>
    <row r="127" spans="1:23" ht="19.7" customHeight="1" thickBot="1" x14ac:dyDescent="0.3">
      <c r="A127" s="68"/>
      <c r="B127" s="71"/>
      <c r="C127" s="71"/>
      <c r="D127" s="74"/>
      <c r="E127" s="76"/>
      <c r="F127" s="78"/>
      <c r="G127" s="74"/>
      <c r="H127" s="76"/>
      <c r="I127" s="80"/>
      <c r="J127" s="11" t="str">
        <f>Matiere_premiere[[#This Row],[Entrepot]]</f>
        <v>E2</v>
      </c>
      <c r="K127" s="9" t="b">
        <f>IF(Matiere_premiere[[#This Row],[INVENTAIRE]]&gt;0,TRUE,FALSE)</f>
        <v>0</v>
      </c>
      <c r="L127" s="65"/>
      <c r="M127" s="16" t="s">
        <v>103</v>
      </c>
      <c r="N127" s="16" t="s">
        <v>281</v>
      </c>
      <c r="O127" s="16" t="s">
        <v>276</v>
      </c>
      <c r="P127" s="16" t="s">
        <v>280</v>
      </c>
      <c r="Q127" s="54">
        <v>65437</v>
      </c>
      <c r="R127" s="13" t="s">
        <v>74</v>
      </c>
      <c r="S127" s="14">
        <v>0</v>
      </c>
      <c r="T127" s="14"/>
      <c r="U127" s="14"/>
      <c r="V127" s="14">
        <f>SUM(Matiere_premiere[[#This Row],[INVENTAIRE]],-Matiere_premiere[[#This Row],[Entrée]],-Matiere_premiere[[#This Row],[Sortis]])</f>
        <v>0</v>
      </c>
      <c r="W127" s="50" t="str">
        <f>CONCATENATE(Matiere_premiere[[#This Row],[CODE COLEUR]],"_",Matiere_premiere[[#This Row],[COULEUR]],"_",Matiere_premiere[[#This Row],[CODE FAB]],"_",Matiere_premiere[[#This Row],[Num de Lot]])</f>
        <v>C04_NATUREL_NM15-04.01_65437</v>
      </c>
    </row>
    <row r="128" spans="1:23" ht="19.7" customHeight="1" thickBot="1" x14ac:dyDescent="0.3">
      <c r="A128" s="68"/>
      <c r="B128" s="71"/>
      <c r="C128" s="71"/>
      <c r="D128" s="74"/>
      <c r="E128" s="76"/>
      <c r="F128" s="78"/>
      <c r="G128" s="74"/>
      <c r="H128" s="76"/>
      <c r="I128" s="80"/>
      <c r="J128" s="11" t="str">
        <f>Matiere_premiere[[#This Row],[Entrepot]]</f>
        <v>E3</v>
      </c>
      <c r="K128" s="9" t="b">
        <f>IF(Matiere_premiere[[#This Row],[INVENTAIRE]]&gt;0,TRUE,FALSE)</f>
        <v>0</v>
      </c>
      <c r="L128" s="65"/>
      <c r="M128" s="16" t="s">
        <v>103</v>
      </c>
      <c r="N128" s="16" t="s">
        <v>281</v>
      </c>
      <c r="O128" s="16" t="s">
        <v>276</v>
      </c>
      <c r="P128" s="16" t="s">
        <v>280</v>
      </c>
      <c r="Q128" s="54">
        <v>65437</v>
      </c>
      <c r="R128" s="13" t="s">
        <v>73</v>
      </c>
      <c r="S128" s="14">
        <v>0</v>
      </c>
      <c r="T128" s="14"/>
      <c r="U128" s="14"/>
      <c r="V128" s="14">
        <f>SUM(Matiere_premiere[[#This Row],[INVENTAIRE]],-Matiere_premiere[[#This Row],[Entrée]],-Matiere_premiere[[#This Row],[Sortis]])</f>
        <v>0</v>
      </c>
      <c r="W128" s="50" t="str">
        <f>CONCATENATE(Matiere_premiere[[#This Row],[CODE COLEUR]],"_",Matiere_premiere[[#This Row],[COULEUR]],"_",Matiere_premiere[[#This Row],[CODE FAB]],"_",Matiere_premiere[[#This Row],[Num de Lot]])</f>
        <v>C04_NATUREL_NM15-04.01_65437</v>
      </c>
    </row>
    <row r="129" spans="1:23" ht="19.7" customHeight="1" thickBot="1" x14ac:dyDescent="0.3">
      <c r="A129" s="69"/>
      <c r="B129" s="72"/>
      <c r="C129" s="72"/>
      <c r="D129" s="75"/>
      <c r="E129" s="77"/>
      <c r="F129" s="79"/>
      <c r="G129" s="75"/>
      <c r="H129" s="77"/>
      <c r="I129" s="81"/>
      <c r="J129" s="10" t="str">
        <f>Matiere_premiere[[#This Row],[Entrepot]]</f>
        <v>Usine</v>
      </c>
      <c r="K129" s="9" t="b">
        <f>IF(Matiere_premiere[[#This Row],[INVENTAIRE]]&gt;0,TRUE,FALSE)</f>
        <v>0</v>
      </c>
      <c r="L129" s="66"/>
      <c r="M129" s="13" t="s">
        <v>103</v>
      </c>
      <c r="N129" s="13" t="s">
        <v>281</v>
      </c>
      <c r="O129" s="13" t="s">
        <v>276</v>
      </c>
      <c r="P129" s="13" t="s">
        <v>280</v>
      </c>
      <c r="Q129" s="55">
        <v>65437</v>
      </c>
      <c r="R129" s="13" t="s">
        <v>68</v>
      </c>
      <c r="S129" s="14">
        <v>0</v>
      </c>
      <c r="T129" s="14"/>
      <c r="U129" s="14"/>
      <c r="V129" s="14">
        <f>SUM(Matiere_premiere[[#This Row],[INVENTAIRE]],-Matiere_premiere[[#This Row],[Entrée]],-Matiere_premiere[[#This Row],[Sortis]])</f>
        <v>0</v>
      </c>
      <c r="W129" s="50" t="str">
        <f>CONCATENATE(Matiere_premiere[[#This Row],[CODE COLEUR]],"_",Matiere_premiere[[#This Row],[COULEUR]],"_",Matiere_premiere[[#This Row],[CODE FAB]],"_",Matiere_premiere[[#This Row],[Num de Lot]])</f>
        <v>C04_NATUREL_NM15-04.01_65437</v>
      </c>
    </row>
    <row r="130" spans="1:23" ht="19.7" customHeight="1" thickTop="1" thickBot="1" x14ac:dyDescent="0.3">
      <c r="A130" s="67" t="str">
        <f>Matiere_premiere[[#This Row],[NUMERO METRIQUE]]</f>
        <v>NM15</v>
      </c>
      <c r="B130" s="70" t="str">
        <f>Matiere_premiere[[#This Row],[COULEUR]]</f>
        <v>BRUN</v>
      </c>
      <c r="C130" s="70" t="str">
        <f>Matiere_premiere[[#This Row],[CODE COLEUR]]</f>
        <v>C04</v>
      </c>
      <c r="D130" s="73" t="str">
        <f>Matiere_premiere[[#This Row],[CODE FAB]]</f>
        <v>NM15-04.02</v>
      </c>
      <c r="E130" s="76" t="e" vm="45">
        <f>_xlfn.IMAGE("https://api.qrserver.com/v1/create-qr-code/?size=100x100&amp;data=" &amp; D130)</f>
        <v>#VALUE!</v>
      </c>
      <c r="F130" s="78"/>
      <c r="G130" s="73">
        <f>Matiere_premiere[[#This Row],[Num de Lot]]</f>
        <v>61439</v>
      </c>
      <c r="H130" s="76" t="e" vm="46">
        <f>_xlfn.IMAGE("https://api.qrserver.com/v1/create-qr-code/?size=100x100&amp;data=" &amp; G130)</f>
        <v>#VALUE!</v>
      </c>
      <c r="I130" s="80"/>
      <c r="J130" s="12" t="str">
        <f>Matiere_premiere[[#This Row],[Entrepot]]</f>
        <v>E1</v>
      </c>
      <c r="K130" s="9" t="b">
        <f>IF(Matiere_premiere[[#This Row],[INVENTAIRE]]&gt;0,TRUE,FALSE)</f>
        <v>1</v>
      </c>
      <c r="L130" s="65"/>
      <c r="M130" s="8" t="s">
        <v>103</v>
      </c>
      <c r="N130" s="8" t="s">
        <v>279</v>
      </c>
      <c r="O130" s="8" t="s">
        <v>276</v>
      </c>
      <c r="P130" s="8" t="s">
        <v>278</v>
      </c>
      <c r="Q130" s="53">
        <v>61439</v>
      </c>
      <c r="R130" s="8" t="s">
        <v>75</v>
      </c>
      <c r="S130" s="7">
        <v>924</v>
      </c>
      <c r="T130" s="7"/>
      <c r="U130" s="7"/>
      <c r="V130" s="7">
        <f>SUM(Matiere_premiere[[#This Row],[INVENTAIRE]],-Matiere_premiere[[#This Row],[Entrée]],-Matiere_premiere[[#This Row],[Sortis]])</f>
        <v>924</v>
      </c>
      <c r="W130" s="50" t="str">
        <f>CONCATENATE(Matiere_premiere[[#This Row],[CODE COLEUR]],"_",Matiere_premiere[[#This Row],[COULEUR]],"_",Matiere_premiere[[#This Row],[CODE FAB]],"_",Matiere_premiere[[#This Row],[Num de Lot]])</f>
        <v>C04_BRUN_NM15-04.02_61439</v>
      </c>
    </row>
    <row r="131" spans="1:23" ht="19.7" customHeight="1" thickBot="1" x14ac:dyDescent="0.3">
      <c r="A131" s="68"/>
      <c r="B131" s="71"/>
      <c r="C131" s="71"/>
      <c r="D131" s="74"/>
      <c r="E131" s="76"/>
      <c r="F131" s="78"/>
      <c r="G131" s="74"/>
      <c r="H131" s="76"/>
      <c r="I131" s="80"/>
      <c r="J131" s="11" t="str">
        <f>Matiere_premiere[[#This Row],[Entrepot]]</f>
        <v>E2</v>
      </c>
      <c r="K131" s="9" t="b">
        <f>IF(Matiere_premiere[[#This Row],[INVENTAIRE]]&gt;0,TRUE,FALSE)</f>
        <v>0</v>
      </c>
      <c r="L131" s="65"/>
      <c r="M131" s="8" t="s">
        <v>103</v>
      </c>
      <c r="N131" s="8" t="s">
        <v>279</v>
      </c>
      <c r="O131" s="8" t="s">
        <v>276</v>
      </c>
      <c r="P131" s="8" t="s">
        <v>278</v>
      </c>
      <c r="Q131" s="53">
        <v>61439</v>
      </c>
      <c r="R131" s="8" t="s">
        <v>74</v>
      </c>
      <c r="S131" s="7">
        <v>0</v>
      </c>
      <c r="T131" s="7"/>
      <c r="U131" s="7"/>
      <c r="V131" s="7">
        <f>SUM(Matiere_premiere[[#This Row],[INVENTAIRE]],-Matiere_premiere[[#This Row],[Entrée]],-Matiere_premiere[[#This Row],[Sortis]])</f>
        <v>0</v>
      </c>
      <c r="W131" s="50" t="str">
        <f>CONCATENATE(Matiere_premiere[[#This Row],[CODE COLEUR]],"_",Matiere_premiere[[#This Row],[COULEUR]],"_",Matiere_premiere[[#This Row],[CODE FAB]],"_",Matiere_premiere[[#This Row],[Num de Lot]])</f>
        <v>C04_BRUN_NM15-04.02_61439</v>
      </c>
    </row>
    <row r="132" spans="1:23" ht="19.7" customHeight="1" thickBot="1" x14ac:dyDescent="0.3">
      <c r="A132" s="68"/>
      <c r="B132" s="71"/>
      <c r="C132" s="71"/>
      <c r="D132" s="74"/>
      <c r="E132" s="76"/>
      <c r="F132" s="78"/>
      <c r="G132" s="74"/>
      <c r="H132" s="76"/>
      <c r="I132" s="80"/>
      <c r="J132" s="11" t="str">
        <f>Matiere_premiere[[#This Row],[Entrepot]]</f>
        <v>E3</v>
      </c>
      <c r="K132" s="9" t="b">
        <f>IF(Matiere_premiere[[#This Row],[INVENTAIRE]]&gt;0,TRUE,FALSE)</f>
        <v>0</v>
      </c>
      <c r="L132" s="65"/>
      <c r="M132" s="8" t="s">
        <v>103</v>
      </c>
      <c r="N132" s="8" t="s">
        <v>279</v>
      </c>
      <c r="O132" s="8" t="s">
        <v>276</v>
      </c>
      <c r="P132" s="8" t="s">
        <v>278</v>
      </c>
      <c r="Q132" s="53">
        <v>61439</v>
      </c>
      <c r="R132" s="8" t="s">
        <v>73</v>
      </c>
      <c r="S132" s="7">
        <v>0</v>
      </c>
      <c r="T132" s="7"/>
      <c r="U132" s="7"/>
      <c r="V132" s="7">
        <f>SUM(Matiere_premiere[[#This Row],[INVENTAIRE]],-Matiere_premiere[[#This Row],[Entrée]],-Matiere_premiere[[#This Row],[Sortis]])</f>
        <v>0</v>
      </c>
      <c r="W132" s="50" t="str">
        <f>CONCATENATE(Matiere_premiere[[#This Row],[CODE COLEUR]],"_",Matiere_premiere[[#This Row],[COULEUR]],"_",Matiere_premiere[[#This Row],[CODE FAB]],"_",Matiere_premiere[[#This Row],[Num de Lot]])</f>
        <v>C04_BRUN_NM15-04.02_61439</v>
      </c>
    </row>
    <row r="133" spans="1:23" ht="19.7" customHeight="1" thickBot="1" x14ac:dyDescent="0.3">
      <c r="A133" s="69"/>
      <c r="B133" s="72"/>
      <c r="C133" s="72"/>
      <c r="D133" s="75"/>
      <c r="E133" s="77"/>
      <c r="F133" s="79"/>
      <c r="G133" s="75"/>
      <c r="H133" s="77"/>
      <c r="I133" s="81"/>
      <c r="J133" s="10" t="str">
        <f>Matiere_premiere[[#This Row],[Entrepot]]</f>
        <v>Usine</v>
      </c>
      <c r="K133" s="9" t="b">
        <f>IF(Matiere_premiere[[#This Row],[INVENTAIRE]]&gt;0,TRUE,FALSE)</f>
        <v>1</v>
      </c>
      <c r="L133" s="66"/>
      <c r="M133" s="8" t="s">
        <v>103</v>
      </c>
      <c r="N133" s="8" t="s">
        <v>279</v>
      </c>
      <c r="O133" s="8" t="s">
        <v>276</v>
      </c>
      <c r="P133" s="8" t="s">
        <v>278</v>
      </c>
      <c r="Q133" s="53">
        <v>61439</v>
      </c>
      <c r="R133" s="8" t="s">
        <v>68</v>
      </c>
      <c r="S133" s="7">
        <v>396.5</v>
      </c>
      <c r="T133" s="7"/>
      <c r="U133" s="7"/>
      <c r="V133" s="7">
        <f>SUM(Matiere_premiere[[#This Row],[INVENTAIRE]],-Matiere_premiere[[#This Row],[Entrée]],-Matiere_premiere[[#This Row],[Sortis]])</f>
        <v>396.5</v>
      </c>
      <c r="W133" s="50" t="str">
        <f>CONCATENATE(Matiere_premiere[[#This Row],[CODE COLEUR]],"_",Matiere_premiere[[#This Row],[COULEUR]],"_",Matiere_premiere[[#This Row],[CODE FAB]],"_",Matiere_premiere[[#This Row],[Num de Lot]])</f>
        <v>C04_BRUN_NM15-04.02_61439</v>
      </c>
    </row>
    <row r="134" spans="1:23" ht="19.7" customHeight="1" thickTop="1" thickBot="1" x14ac:dyDescent="0.3">
      <c r="A134" s="67" t="str">
        <f>Matiere_premiere[[#This Row],[NUMERO METRIQUE]]</f>
        <v>NM34</v>
      </c>
      <c r="B134" s="70" t="str">
        <f>Matiere_premiere[[#This Row],[COULEUR]]</f>
        <v>TAUPE</v>
      </c>
      <c r="C134" s="70" t="str">
        <f>Matiere_premiere[[#This Row],[CODE COLEUR]]</f>
        <v>C04</v>
      </c>
      <c r="D134" s="73" t="str">
        <f>Matiere_premiere[[#This Row],[CODE FAB]]</f>
        <v>NM34-04.00</v>
      </c>
      <c r="E134" s="76" t="e" vm="47">
        <f>_xlfn.IMAGE("https://api.qrserver.com/v1/create-qr-code/?size=100x100&amp;data=" &amp; D134)</f>
        <v>#VALUE!</v>
      </c>
      <c r="F134" s="78"/>
      <c r="G134" s="73" t="str">
        <f>Matiere_premiere[[#This Row],[Num de Lot]]</f>
        <v>S2024</v>
      </c>
      <c r="H134" s="76" t="e" vm="20">
        <f>_xlfn.IMAGE("https://api.qrserver.com/v1/create-qr-code/?size=100x100&amp;data=" &amp; G134)</f>
        <v>#VALUE!</v>
      </c>
      <c r="I134" s="80"/>
      <c r="J134" s="12" t="str">
        <f>Matiere_premiere[[#This Row],[Entrepot]]</f>
        <v>E1</v>
      </c>
      <c r="K134" s="9" t="b">
        <f>IF(Matiere_premiere[[#This Row],[INVENTAIRE]]&gt;0,TRUE,FALSE)</f>
        <v>0</v>
      </c>
      <c r="L134" s="65"/>
      <c r="M134" s="13" t="s">
        <v>179</v>
      </c>
      <c r="N134" s="13" t="s">
        <v>277</v>
      </c>
      <c r="O134" s="13" t="s">
        <v>276</v>
      </c>
      <c r="P134" s="13" t="s">
        <v>275</v>
      </c>
      <c r="Q134" s="55" t="s">
        <v>175</v>
      </c>
      <c r="R134" s="13" t="s">
        <v>75</v>
      </c>
      <c r="S134" s="14">
        <v>0</v>
      </c>
      <c r="T134" s="14"/>
      <c r="U134" s="14"/>
      <c r="V134" s="14">
        <f>SUM(Matiere_premiere[[#This Row],[INVENTAIRE]],-Matiere_premiere[[#This Row],[Entrée]],-Matiere_premiere[[#This Row],[Sortis]])</f>
        <v>0</v>
      </c>
      <c r="W134" s="50" t="str">
        <f>CONCATENATE(Matiere_premiere[[#This Row],[CODE COLEUR]],"_",Matiere_premiere[[#This Row],[COULEUR]],"_",Matiere_premiere[[#This Row],[CODE FAB]],"_",Matiere_premiere[[#This Row],[Num de Lot]])</f>
        <v>C04_TAUPE_NM34-04.00_S2024</v>
      </c>
    </row>
    <row r="135" spans="1:23" ht="19.7" customHeight="1" thickBot="1" x14ac:dyDescent="0.3">
      <c r="A135" s="68"/>
      <c r="B135" s="71"/>
      <c r="C135" s="71"/>
      <c r="D135" s="74"/>
      <c r="E135" s="76"/>
      <c r="F135" s="78"/>
      <c r="G135" s="74"/>
      <c r="H135" s="76"/>
      <c r="I135" s="80"/>
      <c r="J135" s="11" t="str">
        <f>Matiere_premiere[[#This Row],[Entrepot]]</f>
        <v>E2</v>
      </c>
      <c r="K135" s="9" t="b">
        <f>IF(Matiere_premiere[[#This Row],[INVENTAIRE]]&gt;0,TRUE,FALSE)</f>
        <v>0</v>
      </c>
      <c r="L135" s="65"/>
      <c r="M135" s="13" t="s">
        <v>179</v>
      </c>
      <c r="N135" s="13" t="s">
        <v>277</v>
      </c>
      <c r="O135" s="13" t="s">
        <v>276</v>
      </c>
      <c r="P135" s="13" t="s">
        <v>275</v>
      </c>
      <c r="Q135" s="55" t="s">
        <v>175</v>
      </c>
      <c r="R135" s="13" t="s">
        <v>74</v>
      </c>
      <c r="S135" s="14">
        <v>0</v>
      </c>
      <c r="T135" s="14"/>
      <c r="U135" s="14"/>
      <c r="V135" s="14">
        <f>SUM(Matiere_premiere[[#This Row],[INVENTAIRE]],-Matiere_premiere[[#This Row],[Entrée]],-Matiere_premiere[[#This Row],[Sortis]])</f>
        <v>0</v>
      </c>
      <c r="W135" s="50" t="str">
        <f>CONCATENATE(Matiere_premiere[[#This Row],[CODE COLEUR]],"_",Matiere_premiere[[#This Row],[COULEUR]],"_",Matiere_premiere[[#This Row],[CODE FAB]],"_",Matiere_premiere[[#This Row],[Num de Lot]])</f>
        <v>C04_TAUPE_NM34-04.00_S2024</v>
      </c>
    </row>
    <row r="136" spans="1:23" ht="19.7" customHeight="1" thickBot="1" x14ac:dyDescent="0.3">
      <c r="A136" s="68"/>
      <c r="B136" s="71"/>
      <c r="C136" s="71"/>
      <c r="D136" s="74"/>
      <c r="E136" s="76"/>
      <c r="F136" s="78"/>
      <c r="G136" s="74"/>
      <c r="H136" s="76"/>
      <c r="I136" s="80"/>
      <c r="J136" s="11" t="str">
        <f>Matiere_premiere[[#This Row],[Entrepot]]</f>
        <v>E3</v>
      </c>
      <c r="K136" s="9" t="b">
        <f>IF(Matiere_premiere[[#This Row],[INVENTAIRE]]&gt;0,TRUE,FALSE)</f>
        <v>0</v>
      </c>
      <c r="L136" s="65"/>
      <c r="M136" s="13" t="s">
        <v>179</v>
      </c>
      <c r="N136" s="13" t="s">
        <v>277</v>
      </c>
      <c r="O136" s="13" t="s">
        <v>276</v>
      </c>
      <c r="P136" s="13" t="s">
        <v>275</v>
      </c>
      <c r="Q136" s="55" t="s">
        <v>175</v>
      </c>
      <c r="R136" s="13" t="s">
        <v>73</v>
      </c>
      <c r="S136" s="14">
        <v>0</v>
      </c>
      <c r="T136" s="14"/>
      <c r="U136" s="14"/>
      <c r="V136" s="14">
        <f>SUM(Matiere_premiere[[#This Row],[INVENTAIRE]],-Matiere_premiere[[#This Row],[Entrée]],-Matiere_premiere[[#This Row],[Sortis]])</f>
        <v>0</v>
      </c>
      <c r="W136" s="50" t="str">
        <f>CONCATENATE(Matiere_premiere[[#This Row],[CODE COLEUR]],"_",Matiere_premiere[[#This Row],[COULEUR]],"_",Matiere_premiere[[#This Row],[CODE FAB]],"_",Matiere_premiere[[#This Row],[Num de Lot]])</f>
        <v>C04_TAUPE_NM34-04.00_S2024</v>
      </c>
    </row>
    <row r="137" spans="1:23" ht="19.7" customHeight="1" thickBot="1" x14ac:dyDescent="0.3">
      <c r="A137" s="69"/>
      <c r="B137" s="72"/>
      <c r="C137" s="72"/>
      <c r="D137" s="75"/>
      <c r="E137" s="77"/>
      <c r="F137" s="79"/>
      <c r="G137" s="75"/>
      <c r="H137" s="77"/>
      <c r="I137" s="81"/>
      <c r="J137" s="10" t="str">
        <f>Matiere_premiere[[#This Row],[Entrepot]]</f>
        <v>Usine</v>
      </c>
      <c r="K137" s="9" t="b">
        <f>IF(Matiere_premiere[[#This Row],[INVENTAIRE]]&gt;0,TRUE,FALSE)</f>
        <v>1</v>
      </c>
      <c r="L137" s="66"/>
      <c r="M137" s="13" t="s">
        <v>179</v>
      </c>
      <c r="N137" s="13" t="s">
        <v>277</v>
      </c>
      <c r="O137" s="13" t="s">
        <v>276</v>
      </c>
      <c r="P137" s="13" t="s">
        <v>275</v>
      </c>
      <c r="Q137" s="55" t="s">
        <v>175</v>
      </c>
      <c r="R137" s="13" t="s">
        <v>68</v>
      </c>
      <c r="S137" s="14">
        <v>34</v>
      </c>
      <c r="T137" s="14"/>
      <c r="U137" s="14"/>
      <c r="V137" s="14">
        <f>SUM(Matiere_premiere[[#This Row],[INVENTAIRE]],-Matiere_premiere[[#This Row],[Entrée]],-Matiere_premiere[[#This Row],[Sortis]])</f>
        <v>34</v>
      </c>
      <c r="W137" s="50" t="str">
        <f>CONCATENATE(Matiere_premiere[[#This Row],[CODE COLEUR]],"_",Matiere_premiere[[#This Row],[COULEUR]],"_",Matiere_premiere[[#This Row],[CODE FAB]],"_",Matiere_premiere[[#This Row],[Num de Lot]])</f>
        <v>C04_TAUPE_NM34-04.00_S2024</v>
      </c>
    </row>
    <row r="138" spans="1:23" ht="19.7" customHeight="1" thickTop="1" thickBot="1" x14ac:dyDescent="0.3">
      <c r="A138" s="67" t="str">
        <f>Matiere_premiere[[#This Row],[NUMERO METRIQUE]]</f>
        <v>NM05</v>
      </c>
      <c r="B138" s="70" t="str">
        <f>Matiere_premiere[[#This Row],[COULEUR]]</f>
        <v>MARRON</v>
      </c>
      <c r="C138" s="70" t="str">
        <f>Matiere_premiere[[#This Row],[CODE COLEUR]]</f>
        <v>C05</v>
      </c>
      <c r="D138" s="73" t="str">
        <f>Matiere_premiere[[#This Row],[CODE FAB]]</f>
        <v>NM05-05.00</v>
      </c>
      <c r="E138" s="76" t="e" vm="48">
        <f>_xlfn.IMAGE("https://api.qrserver.com/v1/create-qr-code/?size=100x100&amp;data=" &amp; D138)</f>
        <v>#VALUE!</v>
      </c>
      <c r="F138" s="78"/>
      <c r="G138" s="73">
        <f>Matiere_premiere[[#This Row],[Num de Lot]]</f>
        <v>59949</v>
      </c>
      <c r="H138" s="76" t="e" vm="49">
        <f>_xlfn.IMAGE("https://api.qrserver.com/v1/create-qr-code/?size=100x100&amp;data=" &amp; G138)</f>
        <v>#VALUE!</v>
      </c>
      <c r="I138" s="80"/>
      <c r="J138" s="12" t="str">
        <f>Matiere_premiere[[#This Row],[Entrepot]]</f>
        <v>E1</v>
      </c>
      <c r="K138" s="9" t="b">
        <f>IF(Matiere_premiere[[#This Row],[INVENTAIRE]]&gt;0,TRUE,FALSE)</f>
        <v>0</v>
      </c>
      <c r="L138" s="65"/>
      <c r="M138" s="8" t="s">
        <v>119</v>
      </c>
      <c r="N138" s="8" t="s">
        <v>268</v>
      </c>
      <c r="O138" s="8" t="s">
        <v>267</v>
      </c>
      <c r="P138" s="8" t="s">
        <v>274</v>
      </c>
      <c r="Q138" s="53">
        <v>59949</v>
      </c>
      <c r="R138" s="8" t="s">
        <v>75</v>
      </c>
      <c r="S138" s="7">
        <v>0</v>
      </c>
      <c r="T138" s="7"/>
      <c r="U138" s="7"/>
      <c r="V138" s="7">
        <f>SUM(Matiere_premiere[[#This Row],[INVENTAIRE]],-Matiere_premiere[[#This Row],[Entrée]],-Matiere_premiere[[#This Row],[Sortis]])</f>
        <v>0</v>
      </c>
      <c r="W138" s="50" t="str">
        <f>CONCATENATE(Matiere_premiere[[#This Row],[CODE COLEUR]],"_",Matiere_premiere[[#This Row],[COULEUR]],"_",Matiere_premiere[[#This Row],[CODE FAB]],"_",Matiere_premiere[[#This Row],[Num de Lot]])</f>
        <v>C05_MARRON_NM05-05.00_59949</v>
      </c>
    </row>
    <row r="139" spans="1:23" ht="19.7" customHeight="1" thickBot="1" x14ac:dyDescent="0.3">
      <c r="A139" s="68"/>
      <c r="B139" s="71"/>
      <c r="C139" s="71"/>
      <c r="D139" s="74"/>
      <c r="E139" s="76"/>
      <c r="F139" s="78"/>
      <c r="G139" s="74"/>
      <c r="H139" s="76"/>
      <c r="I139" s="80"/>
      <c r="J139" s="11" t="str">
        <f>Matiere_premiere[[#This Row],[Entrepot]]</f>
        <v>E2</v>
      </c>
      <c r="K139" s="9" t="b">
        <f>IF(Matiere_premiere[[#This Row],[INVENTAIRE]]&gt;0,TRUE,FALSE)</f>
        <v>1</v>
      </c>
      <c r="L139" s="65"/>
      <c r="M139" s="8" t="s">
        <v>119</v>
      </c>
      <c r="N139" s="8" t="s">
        <v>268</v>
      </c>
      <c r="O139" s="8" t="s">
        <v>267</v>
      </c>
      <c r="P139" s="8" t="s">
        <v>274</v>
      </c>
      <c r="Q139" s="53">
        <v>59949</v>
      </c>
      <c r="R139" s="8" t="s">
        <v>74</v>
      </c>
      <c r="S139" s="7">
        <v>1109.5</v>
      </c>
      <c r="T139" s="7"/>
      <c r="U139" s="7"/>
      <c r="V139" s="7">
        <f>SUM(Matiere_premiere[[#This Row],[INVENTAIRE]],-Matiere_premiere[[#This Row],[Entrée]],-Matiere_premiere[[#This Row],[Sortis]])</f>
        <v>1109.5</v>
      </c>
      <c r="W139" s="50" t="str">
        <f>CONCATENATE(Matiere_premiere[[#This Row],[CODE COLEUR]],"_",Matiere_premiere[[#This Row],[COULEUR]],"_",Matiere_premiere[[#This Row],[CODE FAB]],"_",Matiere_premiere[[#This Row],[Num de Lot]])</f>
        <v>C05_MARRON_NM05-05.00_59949</v>
      </c>
    </row>
    <row r="140" spans="1:23" ht="19.7" customHeight="1" thickBot="1" x14ac:dyDescent="0.3">
      <c r="A140" s="68"/>
      <c r="B140" s="71"/>
      <c r="C140" s="71"/>
      <c r="D140" s="74"/>
      <c r="E140" s="76"/>
      <c r="F140" s="78"/>
      <c r="G140" s="74"/>
      <c r="H140" s="76"/>
      <c r="I140" s="80"/>
      <c r="J140" s="11" t="str">
        <f>Matiere_premiere[[#This Row],[Entrepot]]</f>
        <v>E3</v>
      </c>
      <c r="K140" s="9" t="b">
        <f>IF(Matiere_premiere[[#This Row],[INVENTAIRE]]&gt;0,TRUE,FALSE)</f>
        <v>0</v>
      </c>
      <c r="L140" s="65"/>
      <c r="M140" s="8" t="s">
        <v>119</v>
      </c>
      <c r="N140" s="8" t="s">
        <v>268</v>
      </c>
      <c r="O140" s="8" t="s">
        <v>267</v>
      </c>
      <c r="P140" s="8" t="s">
        <v>274</v>
      </c>
      <c r="Q140" s="53">
        <v>59949</v>
      </c>
      <c r="R140" s="8" t="s">
        <v>73</v>
      </c>
      <c r="S140" s="7">
        <v>0</v>
      </c>
      <c r="T140" s="7"/>
      <c r="U140" s="7"/>
      <c r="V140" s="7">
        <f>SUM(Matiere_premiere[[#This Row],[INVENTAIRE]],-Matiere_premiere[[#This Row],[Entrée]],-Matiere_premiere[[#This Row],[Sortis]])</f>
        <v>0</v>
      </c>
      <c r="W140" s="50" t="str">
        <f>CONCATENATE(Matiere_premiere[[#This Row],[CODE COLEUR]],"_",Matiere_premiere[[#This Row],[COULEUR]],"_",Matiere_premiere[[#This Row],[CODE FAB]],"_",Matiere_premiere[[#This Row],[Num de Lot]])</f>
        <v>C05_MARRON_NM05-05.00_59949</v>
      </c>
    </row>
    <row r="141" spans="1:23" ht="19.7" customHeight="1" thickBot="1" x14ac:dyDescent="0.3">
      <c r="A141" s="69"/>
      <c r="B141" s="72"/>
      <c r="C141" s="72"/>
      <c r="D141" s="75"/>
      <c r="E141" s="77"/>
      <c r="F141" s="79"/>
      <c r="G141" s="75"/>
      <c r="H141" s="77"/>
      <c r="I141" s="81"/>
      <c r="J141" s="10" t="str">
        <f>Matiere_premiere[[#This Row],[Entrepot]]</f>
        <v>Usine</v>
      </c>
      <c r="K141" s="9" t="b">
        <f>IF(Matiere_premiere[[#This Row],[INVENTAIRE]]&gt;0,TRUE,FALSE)</f>
        <v>1</v>
      </c>
      <c r="L141" s="66"/>
      <c r="M141" s="8" t="s">
        <v>119</v>
      </c>
      <c r="N141" s="8" t="s">
        <v>268</v>
      </c>
      <c r="O141" s="8" t="s">
        <v>267</v>
      </c>
      <c r="P141" s="8" t="s">
        <v>274</v>
      </c>
      <c r="Q141" s="53">
        <v>59949</v>
      </c>
      <c r="R141" s="8" t="s">
        <v>68</v>
      </c>
      <c r="S141" s="7">
        <v>37.5</v>
      </c>
      <c r="T141" s="7"/>
      <c r="U141" s="7"/>
      <c r="V141" s="7">
        <f>SUM(Matiere_premiere[[#This Row],[INVENTAIRE]],-Matiere_premiere[[#This Row],[Entrée]],-Matiere_premiere[[#This Row],[Sortis]])</f>
        <v>37.5</v>
      </c>
      <c r="W141" s="50" t="str">
        <f>CONCATENATE(Matiere_premiere[[#This Row],[CODE COLEUR]],"_",Matiere_premiere[[#This Row],[COULEUR]],"_",Matiere_premiere[[#This Row],[CODE FAB]],"_",Matiere_premiere[[#This Row],[Num de Lot]])</f>
        <v>C05_MARRON_NM05-05.00_59949</v>
      </c>
    </row>
    <row r="142" spans="1:23" ht="19.7" customHeight="1" thickTop="1" thickBot="1" x14ac:dyDescent="0.3">
      <c r="A142" s="67" t="str">
        <f>Matiere_premiere[[#This Row],[NUMERO METRIQUE]]</f>
        <v>NM05</v>
      </c>
      <c r="B142" s="70" t="str">
        <f>Matiere_premiere[[#This Row],[COULEUR]]</f>
        <v>MARRON</v>
      </c>
      <c r="C142" s="70" t="str">
        <f>Matiere_premiere[[#This Row],[CODE COLEUR]]</f>
        <v>C05</v>
      </c>
      <c r="D142" s="73" t="str">
        <f>Matiere_premiere[[#This Row],[CODE FAB]]</f>
        <v>NM05-05.00</v>
      </c>
      <c r="E142" s="76" t="e" vm="48">
        <f>_xlfn.IMAGE("https://api.qrserver.com/v1/create-qr-code/?size=100x100&amp;data=" &amp; D142)</f>
        <v>#VALUE!</v>
      </c>
      <c r="F142" s="78"/>
      <c r="G142" s="73">
        <f>Matiere_premiere[[#This Row],[Num de Lot]]</f>
        <v>61660</v>
      </c>
      <c r="H142" s="76" t="e" vm="50">
        <f>_xlfn.IMAGE("https://api.qrserver.com/v1/create-qr-code/?size=100x100&amp;data=" &amp; G142)</f>
        <v>#VALUE!</v>
      </c>
      <c r="I142" s="80"/>
      <c r="J142" s="12" t="str">
        <f>Matiere_premiere[[#This Row],[Entrepot]]</f>
        <v>E1</v>
      </c>
      <c r="K142" s="9" t="b">
        <f>IF(Matiere_premiere[[#This Row],[INVENTAIRE]]&gt;0,TRUE,FALSE)</f>
        <v>0</v>
      </c>
      <c r="L142" s="65"/>
      <c r="M142" s="13" t="s">
        <v>119</v>
      </c>
      <c r="N142" s="13" t="s">
        <v>268</v>
      </c>
      <c r="O142" s="13" t="s">
        <v>267</v>
      </c>
      <c r="P142" s="13" t="s">
        <v>274</v>
      </c>
      <c r="Q142" s="55">
        <v>61660</v>
      </c>
      <c r="R142" s="13" t="s">
        <v>75</v>
      </c>
      <c r="S142" s="14">
        <v>0</v>
      </c>
      <c r="T142" s="14"/>
      <c r="U142" s="14"/>
      <c r="V142" s="14">
        <f>SUM(Matiere_premiere[[#This Row],[INVENTAIRE]],-Matiere_premiere[[#This Row],[Entrée]],-Matiere_premiere[[#This Row],[Sortis]])</f>
        <v>0</v>
      </c>
      <c r="W142" s="50" t="str">
        <f>CONCATENATE(Matiere_premiere[[#This Row],[CODE COLEUR]],"_",Matiere_premiere[[#This Row],[COULEUR]],"_",Matiere_premiere[[#This Row],[CODE FAB]],"_",Matiere_premiere[[#This Row],[Num de Lot]])</f>
        <v>C05_MARRON_NM05-05.00_61660</v>
      </c>
    </row>
    <row r="143" spans="1:23" ht="19.7" customHeight="1" thickBot="1" x14ac:dyDescent="0.3">
      <c r="A143" s="68"/>
      <c r="B143" s="71"/>
      <c r="C143" s="71"/>
      <c r="D143" s="74"/>
      <c r="E143" s="76"/>
      <c r="F143" s="78"/>
      <c r="G143" s="74"/>
      <c r="H143" s="76"/>
      <c r="I143" s="80"/>
      <c r="J143" s="11" t="str">
        <f>Matiere_premiere[[#This Row],[Entrepot]]</f>
        <v>E2</v>
      </c>
      <c r="K143" s="9" t="b">
        <f>IF(Matiere_premiere[[#This Row],[INVENTAIRE]]&gt;0,TRUE,FALSE)</f>
        <v>1</v>
      </c>
      <c r="L143" s="65"/>
      <c r="M143" s="13" t="s">
        <v>119</v>
      </c>
      <c r="N143" s="13" t="s">
        <v>268</v>
      </c>
      <c r="O143" s="13" t="s">
        <v>267</v>
      </c>
      <c r="P143" s="13" t="s">
        <v>274</v>
      </c>
      <c r="Q143" s="55">
        <v>61660</v>
      </c>
      <c r="R143" s="13" t="s">
        <v>74</v>
      </c>
      <c r="S143" s="14">
        <v>147</v>
      </c>
      <c r="T143" s="14"/>
      <c r="U143" s="14"/>
      <c r="V143" s="14">
        <f>SUM(Matiere_premiere[[#This Row],[INVENTAIRE]],-Matiere_premiere[[#This Row],[Entrée]],-Matiere_premiere[[#This Row],[Sortis]])</f>
        <v>147</v>
      </c>
      <c r="W143" s="50" t="str">
        <f>CONCATENATE(Matiere_premiere[[#This Row],[CODE COLEUR]],"_",Matiere_premiere[[#This Row],[COULEUR]],"_",Matiere_premiere[[#This Row],[CODE FAB]],"_",Matiere_premiere[[#This Row],[Num de Lot]])</f>
        <v>C05_MARRON_NM05-05.00_61660</v>
      </c>
    </row>
    <row r="144" spans="1:23" ht="19.7" customHeight="1" thickBot="1" x14ac:dyDescent="0.3">
      <c r="A144" s="68"/>
      <c r="B144" s="71"/>
      <c r="C144" s="71"/>
      <c r="D144" s="74"/>
      <c r="E144" s="76"/>
      <c r="F144" s="78"/>
      <c r="G144" s="74"/>
      <c r="H144" s="76"/>
      <c r="I144" s="80"/>
      <c r="J144" s="11" t="str">
        <f>Matiere_premiere[[#This Row],[Entrepot]]</f>
        <v>E3</v>
      </c>
      <c r="K144" s="9" t="b">
        <f>IF(Matiere_premiere[[#This Row],[INVENTAIRE]]&gt;0,TRUE,FALSE)</f>
        <v>0</v>
      </c>
      <c r="L144" s="65"/>
      <c r="M144" s="13" t="s">
        <v>119</v>
      </c>
      <c r="N144" s="13" t="s">
        <v>268</v>
      </c>
      <c r="O144" s="13" t="s">
        <v>267</v>
      </c>
      <c r="P144" s="13" t="s">
        <v>274</v>
      </c>
      <c r="Q144" s="55">
        <v>61660</v>
      </c>
      <c r="R144" s="13" t="s">
        <v>73</v>
      </c>
      <c r="S144" s="14">
        <v>0</v>
      </c>
      <c r="T144" s="14"/>
      <c r="U144" s="14"/>
      <c r="V144" s="14">
        <f>SUM(Matiere_premiere[[#This Row],[INVENTAIRE]],-Matiere_premiere[[#This Row],[Entrée]],-Matiere_premiere[[#This Row],[Sortis]])</f>
        <v>0</v>
      </c>
      <c r="W144" s="50" t="str">
        <f>CONCATENATE(Matiere_premiere[[#This Row],[CODE COLEUR]],"_",Matiere_premiere[[#This Row],[COULEUR]],"_",Matiere_premiere[[#This Row],[CODE FAB]],"_",Matiere_premiere[[#This Row],[Num de Lot]])</f>
        <v>C05_MARRON_NM05-05.00_61660</v>
      </c>
    </row>
    <row r="145" spans="1:23" ht="19.7" customHeight="1" thickBot="1" x14ac:dyDescent="0.3">
      <c r="A145" s="69"/>
      <c r="B145" s="72"/>
      <c r="C145" s="72"/>
      <c r="D145" s="75"/>
      <c r="E145" s="77"/>
      <c r="F145" s="79"/>
      <c r="G145" s="75"/>
      <c r="H145" s="77"/>
      <c r="I145" s="81"/>
      <c r="J145" s="10" t="str">
        <f>Matiere_premiere[[#This Row],[Entrepot]]</f>
        <v>Usine</v>
      </c>
      <c r="K145" s="9" t="b">
        <f>IF(Matiere_premiere[[#This Row],[INVENTAIRE]]&gt;0,TRUE,FALSE)</f>
        <v>0</v>
      </c>
      <c r="L145" s="66"/>
      <c r="M145" s="13" t="s">
        <v>119</v>
      </c>
      <c r="N145" s="13" t="s">
        <v>268</v>
      </c>
      <c r="O145" s="13" t="s">
        <v>267</v>
      </c>
      <c r="P145" s="13" t="s">
        <v>274</v>
      </c>
      <c r="Q145" s="55">
        <v>61660</v>
      </c>
      <c r="R145" s="13" t="s">
        <v>68</v>
      </c>
      <c r="S145" s="14">
        <v>0</v>
      </c>
      <c r="T145" s="14"/>
      <c r="U145" s="14"/>
      <c r="V145" s="14">
        <f>SUM(Matiere_premiere[[#This Row],[INVENTAIRE]],-Matiere_premiere[[#This Row],[Entrée]],-Matiere_premiere[[#This Row],[Sortis]])</f>
        <v>0</v>
      </c>
      <c r="W145" s="50" t="str">
        <f>CONCATENATE(Matiere_premiere[[#This Row],[CODE COLEUR]],"_",Matiere_premiere[[#This Row],[COULEUR]],"_",Matiere_premiere[[#This Row],[CODE FAB]],"_",Matiere_premiere[[#This Row],[Num de Lot]])</f>
        <v>C05_MARRON_NM05-05.00_61660</v>
      </c>
    </row>
    <row r="146" spans="1:23" ht="19.7" customHeight="1" thickTop="1" thickBot="1" x14ac:dyDescent="0.3">
      <c r="A146" s="67" t="str">
        <f>Matiere_premiere[[#This Row],[NUMERO METRIQUE]]</f>
        <v>NM10</v>
      </c>
      <c r="B146" s="70" t="str">
        <f>Matiere_premiere[[#This Row],[COULEUR]]</f>
        <v>MARRON</v>
      </c>
      <c r="C146" s="70" t="str">
        <f>Matiere_premiere[[#This Row],[CODE COLEUR]]</f>
        <v>C05</v>
      </c>
      <c r="D146" s="73" t="str">
        <f>Matiere_premiere[[#This Row],[CODE FAB]]</f>
        <v>NM10-05.00</v>
      </c>
      <c r="E146" s="76" t="e" vm="51">
        <f>_xlfn.IMAGE("https://api.qrserver.com/v1/create-qr-code/?size=100x100&amp;data=" &amp; D146)</f>
        <v>#VALUE!</v>
      </c>
      <c r="F146" s="78"/>
      <c r="G146" s="73">
        <f>Matiere_premiere[[#This Row],[Num de Lot]]</f>
        <v>59629</v>
      </c>
      <c r="H146" s="76" t="e" vm="52">
        <f>_xlfn.IMAGE("https://api.qrserver.com/v1/create-qr-code/?size=100x100&amp;data=" &amp; G146)</f>
        <v>#VALUE!</v>
      </c>
      <c r="I146" s="80"/>
      <c r="J146" s="12" t="str">
        <f>Matiere_premiere[[#This Row],[Entrepot]]</f>
        <v>E1</v>
      </c>
      <c r="K146" s="9" t="b">
        <f>IF(Matiere_premiere[[#This Row],[INVENTAIRE]]&gt;0,TRUE,FALSE)</f>
        <v>0</v>
      </c>
      <c r="L146" s="65"/>
      <c r="M146" s="8" t="s">
        <v>116</v>
      </c>
      <c r="N146" s="8" t="s">
        <v>268</v>
      </c>
      <c r="O146" s="8" t="s">
        <v>267</v>
      </c>
      <c r="P146" s="8" t="s">
        <v>273</v>
      </c>
      <c r="Q146" s="53">
        <v>59629</v>
      </c>
      <c r="R146" s="8" t="s">
        <v>75</v>
      </c>
      <c r="S146" s="7">
        <v>0</v>
      </c>
      <c r="T146" s="7"/>
      <c r="U146" s="7"/>
      <c r="V146" s="7">
        <f>SUM(Matiere_premiere[[#This Row],[INVENTAIRE]],-Matiere_premiere[[#This Row],[Entrée]],-Matiere_premiere[[#This Row],[Sortis]])</f>
        <v>0</v>
      </c>
      <c r="W146" s="50" t="str">
        <f>CONCATENATE(Matiere_premiere[[#This Row],[CODE COLEUR]],"_",Matiere_premiere[[#This Row],[COULEUR]],"_",Matiere_premiere[[#This Row],[CODE FAB]],"_",Matiere_premiere[[#This Row],[Num de Lot]])</f>
        <v>C05_MARRON_NM10-05.00_59629</v>
      </c>
    </row>
    <row r="147" spans="1:23" ht="19.7" customHeight="1" thickBot="1" x14ac:dyDescent="0.3">
      <c r="A147" s="68"/>
      <c r="B147" s="71"/>
      <c r="C147" s="71"/>
      <c r="D147" s="74"/>
      <c r="E147" s="76"/>
      <c r="F147" s="78"/>
      <c r="G147" s="74"/>
      <c r="H147" s="76"/>
      <c r="I147" s="80"/>
      <c r="J147" s="11" t="str">
        <f>Matiere_premiere[[#This Row],[Entrepot]]</f>
        <v>E2</v>
      </c>
      <c r="K147" s="9" t="b">
        <f>IF(Matiere_premiere[[#This Row],[INVENTAIRE]]&gt;0,TRUE,FALSE)</f>
        <v>0</v>
      </c>
      <c r="L147" s="65"/>
      <c r="M147" s="8" t="s">
        <v>116</v>
      </c>
      <c r="N147" s="8" t="s">
        <v>268</v>
      </c>
      <c r="O147" s="8" t="s">
        <v>267</v>
      </c>
      <c r="P147" s="8" t="s">
        <v>273</v>
      </c>
      <c r="Q147" s="53">
        <v>59629</v>
      </c>
      <c r="R147" s="8" t="s">
        <v>74</v>
      </c>
      <c r="S147" s="7">
        <v>0</v>
      </c>
      <c r="T147" s="7"/>
      <c r="U147" s="7"/>
      <c r="V147" s="7">
        <f>SUM(Matiere_premiere[[#This Row],[INVENTAIRE]],-Matiere_premiere[[#This Row],[Entrée]],-Matiere_premiere[[#This Row],[Sortis]])</f>
        <v>0</v>
      </c>
      <c r="W147" s="50" t="str">
        <f>CONCATENATE(Matiere_premiere[[#This Row],[CODE COLEUR]],"_",Matiere_premiere[[#This Row],[COULEUR]],"_",Matiere_premiere[[#This Row],[CODE FAB]],"_",Matiere_premiere[[#This Row],[Num de Lot]])</f>
        <v>C05_MARRON_NM10-05.00_59629</v>
      </c>
    </row>
    <row r="148" spans="1:23" ht="19.7" customHeight="1" thickBot="1" x14ac:dyDescent="0.3">
      <c r="A148" s="68"/>
      <c r="B148" s="71"/>
      <c r="C148" s="71"/>
      <c r="D148" s="74"/>
      <c r="E148" s="76"/>
      <c r="F148" s="78"/>
      <c r="G148" s="74"/>
      <c r="H148" s="76"/>
      <c r="I148" s="80"/>
      <c r="J148" s="11" t="str">
        <f>Matiere_premiere[[#This Row],[Entrepot]]</f>
        <v>E3</v>
      </c>
      <c r="K148" s="9" t="b">
        <f>IF(Matiere_premiere[[#This Row],[INVENTAIRE]]&gt;0,TRUE,FALSE)</f>
        <v>1</v>
      </c>
      <c r="L148" s="65"/>
      <c r="M148" s="8" t="s">
        <v>116</v>
      </c>
      <c r="N148" s="8" t="s">
        <v>268</v>
      </c>
      <c r="O148" s="8" t="s">
        <v>267</v>
      </c>
      <c r="P148" s="8" t="s">
        <v>273</v>
      </c>
      <c r="Q148" s="53">
        <v>59629</v>
      </c>
      <c r="R148" s="8" t="s">
        <v>73</v>
      </c>
      <c r="S148" s="7">
        <v>385</v>
      </c>
      <c r="T148" s="7"/>
      <c r="U148" s="7"/>
      <c r="V148" s="7">
        <f>SUM(Matiere_premiere[[#This Row],[INVENTAIRE]],-Matiere_premiere[[#This Row],[Entrée]],-Matiere_premiere[[#This Row],[Sortis]])</f>
        <v>385</v>
      </c>
      <c r="W148" s="50" t="str">
        <f>CONCATENATE(Matiere_premiere[[#This Row],[CODE COLEUR]],"_",Matiere_premiere[[#This Row],[COULEUR]],"_",Matiere_premiere[[#This Row],[CODE FAB]],"_",Matiere_premiere[[#This Row],[Num de Lot]])</f>
        <v>C05_MARRON_NM10-05.00_59629</v>
      </c>
    </row>
    <row r="149" spans="1:23" ht="19.7" customHeight="1" thickBot="1" x14ac:dyDescent="0.3">
      <c r="A149" s="69"/>
      <c r="B149" s="72"/>
      <c r="C149" s="72"/>
      <c r="D149" s="75"/>
      <c r="E149" s="77"/>
      <c r="F149" s="79"/>
      <c r="G149" s="75"/>
      <c r="H149" s="77"/>
      <c r="I149" s="81"/>
      <c r="J149" s="10" t="str">
        <f>Matiere_premiere[[#This Row],[Entrepot]]</f>
        <v>Usine</v>
      </c>
      <c r="K149" s="9" t="b">
        <f>IF(Matiere_premiere[[#This Row],[INVENTAIRE]]&gt;0,TRUE,FALSE)</f>
        <v>0</v>
      </c>
      <c r="L149" s="66"/>
      <c r="M149" s="8" t="s">
        <v>116</v>
      </c>
      <c r="N149" s="8" t="s">
        <v>268</v>
      </c>
      <c r="O149" s="8" t="s">
        <v>267</v>
      </c>
      <c r="P149" s="8" t="s">
        <v>273</v>
      </c>
      <c r="Q149" s="53">
        <v>59629</v>
      </c>
      <c r="R149" s="8" t="s">
        <v>68</v>
      </c>
      <c r="S149" s="7">
        <v>0</v>
      </c>
      <c r="T149" s="7"/>
      <c r="U149" s="7"/>
      <c r="V149" s="7">
        <f>SUM(Matiere_premiere[[#This Row],[INVENTAIRE]],-Matiere_premiere[[#This Row],[Entrée]],-Matiere_premiere[[#This Row],[Sortis]])</f>
        <v>0</v>
      </c>
      <c r="W149" s="50" t="str">
        <f>CONCATENATE(Matiere_premiere[[#This Row],[CODE COLEUR]],"_",Matiere_premiere[[#This Row],[COULEUR]],"_",Matiere_premiere[[#This Row],[CODE FAB]],"_",Matiere_premiere[[#This Row],[Num de Lot]])</f>
        <v>C05_MARRON_NM10-05.00_59629</v>
      </c>
    </row>
    <row r="150" spans="1:23" ht="19.7" customHeight="1" thickTop="1" thickBot="1" x14ac:dyDescent="0.3">
      <c r="A150" s="67" t="str">
        <f>Matiere_premiere[[#This Row],[NUMERO METRIQUE]]</f>
        <v>NM15</v>
      </c>
      <c r="B150" s="70" t="str">
        <f>Matiere_premiere[[#This Row],[COULEUR]]</f>
        <v>MARRON</v>
      </c>
      <c r="C150" s="70" t="str">
        <f>Matiere_premiere[[#This Row],[CODE COLEUR]]</f>
        <v>C05</v>
      </c>
      <c r="D150" s="73" t="str">
        <f>Matiere_premiere[[#This Row],[CODE FAB]]</f>
        <v>NM15-05.00</v>
      </c>
      <c r="E150" s="76" t="e" vm="53">
        <f>_xlfn.IMAGE("https://api.qrserver.com/v1/create-qr-code/?size=100x100&amp;data=" &amp; D150)</f>
        <v>#VALUE!</v>
      </c>
      <c r="F150" s="78"/>
      <c r="G150" s="73">
        <f>Matiere_premiere[[#This Row],[Num de Lot]]</f>
        <v>61440</v>
      </c>
      <c r="H150" s="76" t="e" vm="54">
        <f>_xlfn.IMAGE("https://api.qrserver.com/v1/create-qr-code/?size=100x100&amp;data=" &amp; G150)</f>
        <v>#VALUE!</v>
      </c>
      <c r="I150" s="80"/>
      <c r="J150" s="12" t="str">
        <f>Matiere_premiere[[#This Row],[Entrepot]]</f>
        <v>E1</v>
      </c>
      <c r="K150" s="9" t="b">
        <f>IF(Matiere_premiere[[#This Row],[INVENTAIRE]]&gt;0,TRUE,FALSE)</f>
        <v>0</v>
      </c>
      <c r="L150" s="65"/>
      <c r="M150" s="13" t="s">
        <v>103</v>
      </c>
      <c r="N150" s="13" t="s">
        <v>268</v>
      </c>
      <c r="O150" s="13" t="s">
        <v>267</v>
      </c>
      <c r="P150" s="13" t="s">
        <v>272</v>
      </c>
      <c r="Q150" s="55">
        <v>61440</v>
      </c>
      <c r="R150" s="13" t="s">
        <v>75</v>
      </c>
      <c r="S150" s="14">
        <v>0</v>
      </c>
      <c r="T150" s="14"/>
      <c r="U150" s="14"/>
      <c r="V150" s="14">
        <f>SUM(Matiere_premiere[[#This Row],[INVENTAIRE]],-Matiere_premiere[[#This Row],[Entrée]],-Matiere_premiere[[#This Row],[Sortis]])</f>
        <v>0</v>
      </c>
      <c r="W150" s="50" t="str">
        <f>CONCATENATE(Matiere_premiere[[#This Row],[CODE COLEUR]],"_",Matiere_premiere[[#This Row],[COULEUR]],"_",Matiere_premiere[[#This Row],[CODE FAB]],"_",Matiere_premiere[[#This Row],[Num de Lot]])</f>
        <v>C05_MARRON_NM15-05.00_61440</v>
      </c>
    </row>
    <row r="151" spans="1:23" ht="19.7" customHeight="1" thickBot="1" x14ac:dyDescent="0.3">
      <c r="A151" s="68"/>
      <c r="B151" s="71"/>
      <c r="C151" s="71"/>
      <c r="D151" s="74"/>
      <c r="E151" s="76"/>
      <c r="F151" s="78"/>
      <c r="G151" s="74"/>
      <c r="H151" s="76"/>
      <c r="I151" s="80"/>
      <c r="J151" s="11" t="str">
        <f>Matiere_premiere[[#This Row],[Entrepot]]</f>
        <v>E2</v>
      </c>
      <c r="K151" s="9" t="b">
        <f>IF(Matiere_premiere[[#This Row],[INVENTAIRE]]&gt;0,TRUE,FALSE)</f>
        <v>0</v>
      </c>
      <c r="L151" s="65"/>
      <c r="M151" s="13" t="s">
        <v>103</v>
      </c>
      <c r="N151" s="13" t="s">
        <v>268</v>
      </c>
      <c r="O151" s="13" t="s">
        <v>267</v>
      </c>
      <c r="P151" s="13" t="s">
        <v>272</v>
      </c>
      <c r="Q151" s="55">
        <v>61440</v>
      </c>
      <c r="R151" s="13" t="s">
        <v>74</v>
      </c>
      <c r="S151" s="14">
        <v>0</v>
      </c>
      <c r="T151" s="14"/>
      <c r="U151" s="14"/>
      <c r="V151" s="14">
        <f>SUM(Matiere_premiere[[#This Row],[INVENTAIRE]],-Matiere_premiere[[#This Row],[Entrée]],-Matiere_premiere[[#This Row],[Sortis]])</f>
        <v>0</v>
      </c>
      <c r="W151" s="50" t="str">
        <f>CONCATENATE(Matiere_premiere[[#This Row],[CODE COLEUR]],"_",Matiere_premiere[[#This Row],[COULEUR]],"_",Matiere_premiere[[#This Row],[CODE FAB]],"_",Matiere_premiere[[#This Row],[Num de Lot]])</f>
        <v>C05_MARRON_NM15-05.00_61440</v>
      </c>
    </row>
    <row r="152" spans="1:23" ht="19.7" customHeight="1" thickBot="1" x14ac:dyDescent="0.3">
      <c r="A152" s="68"/>
      <c r="B152" s="71"/>
      <c r="C152" s="71"/>
      <c r="D152" s="74"/>
      <c r="E152" s="76"/>
      <c r="F152" s="78"/>
      <c r="G152" s="74"/>
      <c r="H152" s="76"/>
      <c r="I152" s="80"/>
      <c r="J152" s="11" t="str">
        <f>Matiere_premiere[[#This Row],[Entrepot]]</f>
        <v>E3</v>
      </c>
      <c r="K152" s="9" t="b">
        <f>IF(Matiere_premiere[[#This Row],[INVENTAIRE]]&gt;0,TRUE,FALSE)</f>
        <v>0</v>
      </c>
      <c r="L152" s="65"/>
      <c r="M152" s="13" t="s">
        <v>103</v>
      </c>
      <c r="N152" s="13" t="s">
        <v>268</v>
      </c>
      <c r="O152" s="13" t="s">
        <v>267</v>
      </c>
      <c r="P152" s="13" t="s">
        <v>272</v>
      </c>
      <c r="Q152" s="55">
        <v>61440</v>
      </c>
      <c r="R152" s="13" t="s">
        <v>73</v>
      </c>
      <c r="S152" s="14">
        <v>0</v>
      </c>
      <c r="T152" s="14"/>
      <c r="U152" s="14"/>
      <c r="V152" s="14">
        <f>SUM(Matiere_premiere[[#This Row],[INVENTAIRE]],-Matiere_premiere[[#This Row],[Entrée]],-Matiere_premiere[[#This Row],[Sortis]])</f>
        <v>0</v>
      </c>
      <c r="W152" s="50" t="str">
        <f>CONCATENATE(Matiere_premiere[[#This Row],[CODE COLEUR]],"_",Matiere_premiere[[#This Row],[COULEUR]],"_",Matiere_premiere[[#This Row],[CODE FAB]],"_",Matiere_premiere[[#This Row],[Num de Lot]])</f>
        <v>C05_MARRON_NM15-05.00_61440</v>
      </c>
    </row>
    <row r="153" spans="1:23" ht="19.7" customHeight="1" thickBot="1" x14ac:dyDescent="0.3">
      <c r="A153" s="69"/>
      <c r="B153" s="72"/>
      <c r="C153" s="72"/>
      <c r="D153" s="75"/>
      <c r="E153" s="77"/>
      <c r="F153" s="79"/>
      <c r="G153" s="75"/>
      <c r="H153" s="77"/>
      <c r="I153" s="81"/>
      <c r="J153" s="10" t="str">
        <f>Matiere_premiere[[#This Row],[Entrepot]]</f>
        <v>Usine</v>
      </c>
      <c r="K153" s="9" t="b">
        <f>IF(Matiere_premiere[[#This Row],[INVENTAIRE]]&gt;0,TRUE,FALSE)</f>
        <v>1</v>
      </c>
      <c r="L153" s="66"/>
      <c r="M153" s="13" t="s">
        <v>103</v>
      </c>
      <c r="N153" s="13" t="s">
        <v>268</v>
      </c>
      <c r="O153" s="13" t="s">
        <v>267</v>
      </c>
      <c r="P153" s="13" t="s">
        <v>272</v>
      </c>
      <c r="Q153" s="55">
        <v>61440</v>
      </c>
      <c r="R153" s="13" t="s">
        <v>68</v>
      </c>
      <c r="S153" s="14">
        <v>211.5</v>
      </c>
      <c r="T153" s="14"/>
      <c r="U153" s="14"/>
      <c r="V153" s="14">
        <f>SUM(Matiere_premiere[[#This Row],[INVENTAIRE]],-Matiere_premiere[[#This Row],[Entrée]],-Matiere_premiere[[#This Row],[Sortis]])</f>
        <v>211.5</v>
      </c>
      <c r="W153" s="50" t="str">
        <f>CONCATENATE(Matiere_premiere[[#This Row],[CODE COLEUR]],"_",Matiere_premiere[[#This Row],[COULEUR]],"_",Matiere_premiere[[#This Row],[CODE FAB]],"_",Matiere_premiere[[#This Row],[Num de Lot]])</f>
        <v>C05_MARRON_NM15-05.00_61440</v>
      </c>
    </row>
    <row r="154" spans="1:23" ht="19.7" customHeight="1" thickTop="1" thickBot="1" x14ac:dyDescent="0.3">
      <c r="A154" s="67" t="str">
        <f>Matiere_premiere[[#This Row],[NUMERO METRIQUE]]</f>
        <v>NM15</v>
      </c>
      <c r="B154" s="70" t="str">
        <f>Matiere_premiere[[#This Row],[COULEUR]]</f>
        <v>TERRA</v>
      </c>
      <c r="C154" s="70" t="str">
        <f>Matiere_premiere[[#This Row],[CODE COLEUR]]</f>
        <v>C05</v>
      </c>
      <c r="D154" s="73" t="str">
        <f>Matiere_premiere[[#This Row],[CODE FAB]]</f>
        <v>NM15-05.01</v>
      </c>
      <c r="E154" s="76" t="e" vm="55">
        <f>_xlfn.IMAGE("https://api.qrserver.com/v1/create-qr-code/?size=100x100&amp;data=" &amp; D154)</f>
        <v>#VALUE!</v>
      </c>
      <c r="F154" s="78"/>
      <c r="G154" s="73">
        <f>Matiere_premiere[[#This Row],[Num de Lot]]</f>
        <v>61561</v>
      </c>
      <c r="H154" s="76" t="e" vm="56">
        <f>_xlfn.IMAGE("https://api.qrserver.com/v1/create-qr-code/?size=100x100&amp;data=" &amp; G154)</f>
        <v>#VALUE!</v>
      </c>
      <c r="I154" s="80"/>
      <c r="J154" s="12" t="str">
        <f>Matiere_premiere[[#This Row],[Entrepot]]</f>
        <v>E1</v>
      </c>
      <c r="K154" s="9" t="b">
        <f>IF(Matiere_premiere[[#This Row],[INVENTAIRE]]&gt;0,TRUE,FALSE)</f>
        <v>1</v>
      </c>
      <c r="L154" s="65"/>
      <c r="M154" s="8" t="s">
        <v>103</v>
      </c>
      <c r="N154" s="8" t="s">
        <v>271</v>
      </c>
      <c r="O154" s="8" t="s">
        <v>267</v>
      </c>
      <c r="P154" s="8" t="s">
        <v>270</v>
      </c>
      <c r="Q154" s="53">
        <v>61561</v>
      </c>
      <c r="R154" s="8" t="s">
        <v>75</v>
      </c>
      <c r="S154" s="7">
        <v>346.5</v>
      </c>
      <c r="T154" s="7"/>
      <c r="U154" s="7"/>
      <c r="V154" s="7">
        <f>SUM(Matiere_premiere[[#This Row],[INVENTAIRE]],-Matiere_premiere[[#This Row],[Entrée]],-Matiere_premiere[[#This Row],[Sortis]])</f>
        <v>346.5</v>
      </c>
      <c r="W154" s="50" t="str">
        <f>CONCATENATE(Matiere_premiere[[#This Row],[CODE COLEUR]],"_",Matiere_premiere[[#This Row],[COULEUR]],"_",Matiere_premiere[[#This Row],[CODE FAB]],"_",Matiere_premiere[[#This Row],[Num de Lot]])</f>
        <v>C05_TERRA_NM15-05.01_61561</v>
      </c>
    </row>
    <row r="155" spans="1:23" ht="19.7" customHeight="1" thickBot="1" x14ac:dyDescent="0.3">
      <c r="A155" s="68"/>
      <c r="B155" s="71"/>
      <c r="C155" s="71"/>
      <c r="D155" s="74"/>
      <c r="E155" s="76"/>
      <c r="F155" s="78"/>
      <c r="G155" s="74"/>
      <c r="H155" s="76"/>
      <c r="I155" s="80"/>
      <c r="J155" s="11" t="str">
        <f>Matiere_premiere[[#This Row],[Entrepot]]</f>
        <v>E2</v>
      </c>
      <c r="K155" s="9" t="b">
        <f>IF(Matiere_premiere[[#This Row],[INVENTAIRE]]&gt;0,TRUE,FALSE)</f>
        <v>0</v>
      </c>
      <c r="L155" s="65"/>
      <c r="M155" s="8" t="s">
        <v>103</v>
      </c>
      <c r="N155" s="8" t="s">
        <v>271</v>
      </c>
      <c r="O155" s="8" t="s">
        <v>267</v>
      </c>
      <c r="P155" s="8" t="s">
        <v>270</v>
      </c>
      <c r="Q155" s="53">
        <v>61561</v>
      </c>
      <c r="R155" s="8" t="s">
        <v>74</v>
      </c>
      <c r="S155" s="7">
        <v>0</v>
      </c>
      <c r="T155" s="7"/>
      <c r="U155" s="7"/>
      <c r="V155" s="7">
        <f>SUM(Matiere_premiere[[#This Row],[INVENTAIRE]],-Matiere_premiere[[#This Row],[Entrée]],-Matiere_premiere[[#This Row],[Sortis]])</f>
        <v>0</v>
      </c>
      <c r="W155" s="50" t="str">
        <f>CONCATENATE(Matiere_premiere[[#This Row],[CODE COLEUR]],"_",Matiere_premiere[[#This Row],[COULEUR]],"_",Matiere_premiere[[#This Row],[CODE FAB]],"_",Matiere_premiere[[#This Row],[Num de Lot]])</f>
        <v>C05_TERRA_NM15-05.01_61561</v>
      </c>
    </row>
    <row r="156" spans="1:23" ht="19.7" customHeight="1" thickBot="1" x14ac:dyDescent="0.3">
      <c r="A156" s="68"/>
      <c r="B156" s="71"/>
      <c r="C156" s="71"/>
      <c r="D156" s="74"/>
      <c r="E156" s="76"/>
      <c r="F156" s="78"/>
      <c r="G156" s="74"/>
      <c r="H156" s="76"/>
      <c r="I156" s="80"/>
      <c r="J156" s="11" t="str">
        <f>Matiere_premiere[[#This Row],[Entrepot]]</f>
        <v>E3</v>
      </c>
      <c r="K156" s="9" t="b">
        <f>IF(Matiere_premiere[[#This Row],[INVENTAIRE]]&gt;0,TRUE,FALSE)</f>
        <v>0</v>
      </c>
      <c r="L156" s="65"/>
      <c r="M156" s="8" t="s">
        <v>103</v>
      </c>
      <c r="N156" s="8" t="s">
        <v>271</v>
      </c>
      <c r="O156" s="8" t="s">
        <v>267</v>
      </c>
      <c r="P156" s="8" t="s">
        <v>270</v>
      </c>
      <c r="Q156" s="53">
        <v>61561</v>
      </c>
      <c r="R156" s="8" t="s">
        <v>73</v>
      </c>
      <c r="S156" s="7">
        <v>0</v>
      </c>
      <c r="T156" s="7"/>
      <c r="U156" s="7"/>
      <c r="V156" s="7">
        <f>SUM(Matiere_premiere[[#This Row],[INVENTAIRE]],-Matiere_premiere[[#This Row],[Entrée]],-Matiere_premiere[[#This Row],[Sortis]])</f>
        <v>0</v>
      </c>
      <c r="W156" s="50" t="str">
        <f>CONCATENATE(Matiere_premiere[[#This Row],[CODE COLEUR]],"_",Matiere_premiere[[#This Row],[COULEUR]],"_",Matiere_premiere[[#This Row],[CODE FAB]],"_",Matiere_premiere[[#This Row],[Num de Lot]])</f>
        <v>C05_TERRA_NM15-05.01_61561</v>
      </c>
    </row>
    <row r="157" spans="1:23" ht="19.7" customHeight="1" thickBot="1" x14ac:dyDescent="0.3">
      <c r="A157" s="69"/>
      <c r="B157" s="72"/>
      <c r="C157" s="72"/>
      <c r="D157" s="75"/>
      <c r="E157" s="77"/>
      <c r="F157" s="79"/>
      <c r="G157" s="75"/>
      <c r="H157" s="77"/>
      <c r="I157" s="81"/>
      <c r="J157" s="10" t="str">
        <f>Matiere_premiere[[#This Row],[Entrepot]]</f>
        <v>Usine</v>
      </c>
      <c r="K157" s="9" t="b">
        <f>IF(Matiere_premiere[[#This Row],[INVENTAIRE]]&gt;0,TRUE,FALSE)</f>
        <v>1</v>
      </c>
      <c r="L157" s="66"/>
      <c r="M157" s="8" t="s">
        <v>103</v>
      </c>
      <c r="N157" s="8" t="s">
        <v>271</v>
      </c>
      <c r="O157" s="8" t="s">
        <v>267</v>
      </c>
      <c r="P157" s="8" t="s">
        <v>270</v>
      </c>
      <c r="Q157" s="53">
        <v>61561</v>
      </c>
      <c r="R157" s="8" t="s">
        <v>68</v>
      </c>
      <c r="S157" s="7">
        <v>253.5</v>
      </c>
      <c r="T157" s="7"/>
      <c r="U157" s="7"/>
      <c r="V157" s="7">
        <f>SUM(Matiere_premiere[[#This Row],[INVENTAIRE]],-Matiere_premiere[[#This Row],[Entrée]],-Matiere_premiere[[#This Row],[Sortis]])</f>
        <v>253.5</v>
      </c>
      <c r="W157" s="50" t="str">
        <f>CONCATENATE(Matiere_premiere[[#This Row],[CODE COLEUR]],"_",Matiere_premiere[[#This Row],[COULEUR]],"_",Matiere_premiere[[#This Row],[CODE FAB]],"_",Matiere_premiere[[#This Row],[Num de Lot]])</f>
        <v>C05_TERRA_NM15-05.01_61561</v>
      </c>
    </row>
    <row r="158" spans="1:23" ht="19.7" customHeight="1" thickTop="1" thickBot="1" x14ac:dyDescent="0.3">
      <c r="A158" s="67" t="str">
        <f>Matiere_premiere[[#This Row],[NUMERO METRIQUE]]</f>
        <v>NM15</v>
      </c>
      <c r="B158" s="70" t="str">
        <f>Matiere_premiere[[#This Row],[COULEUR]]</f>
        <v>TERRA</v>
      </c>
      <c r="C158" s="70" t="str">
        <f>Matiere_premiere[[#This Row],[CODE COLEUR]]</f>
        <v>C05</v>
      </c>
      <c r="D158" s="73" t="str">
        <f>Matiere_premiere[[#This Row],[CODE FAB]]</f>
        <v>NM15-05.01</v>
      </c>
      <c r="E158" s="76" t="e" vm="55">
        <f>_xlfn.IMAGE("https://api.qrserver.com/v1/create-qr-code/?size=100x100&amp;data=" &amp; D158)</f>
        <v>#VALUE!</v>
      </c>
      <c r="F158" s="78"/>
      <c r="G158" s="73">
        <f>Matiere_premiere[[#This Row],[Num de Lot]]</f>
        <v>65415</v>
      </c>
      <c r="H158" s="76" t="e" vm="57">
        <f>_xlfn.IMAGE("https://api.qrserver.com/v1/create-qr-code/?size=100x100&amp;data=" &amp; G158)</f>
        <v>#VALUE!</v>
      </c>
      <c r="I158" s="80"/>
      <c r="J158" s="12" t="str">
        <f>Matiere_premiere[[#This Row],[Entrepot]]</f>
        <v>E1</v>
      </c>
      <c r="K158" s="9" t="b">
        <f>IF(Matiere_premiere[[#This Row],[INVENTAIRE]]&gt;0,TRUE,FALSE)</f>
        <v>0</v>
      </c>
      <c r="L158" s="65"/>
      <c r="M158" s="16" t="s">
        <v>103</v>
      </c>
      <c r="N158" s="16" t="s">
        <v>271</v>
      </c>
      <c r="O158" s="16" t="s">
        <v>267</v>
      </c>
      <c r="P158" s="16" t="s">
        <v>270</v>
      </c>
      <c r="Q158" s="54">
        <v>65415</v>
      </c>
      <c r="R158" s="13" t="s">
        <v>75</v>
      </c>
      <c r="S158" s="14">
        <v>0</v>
      </c>
      <c r="T158" s="14"/>
      <c r="U158" s="14"/>
      <c r="V158" s="14">
        <f>SUM(Matiere_premiere[[#This Row],[INVENTAIRE]],-Matiere_premiere[[#This Row],[Entrée]],-Matiere_premiere[[#This Row],[Sortis]])</f>
        <v>0</v>
      </c>
      <c r="W158" s="50" t="str">
        <f>CONCATENATE(Matiere_premiere[[#This Row],[CODE COLEUR]],"_",Matiere_premiere[[#This Row],[COULEUR]],"_",Matiere_premiere[[#This Row],[CODE FAB]],"_",Matiere_premiere[[#This Row],[Num de Lot]])</f>
        <v>C05_TERRA_NM15-05.01_65415</v>
      </c>
    </row>
    <row r="159" spans="1:23" ht="19.7" customHeight="1" thickBot="1" x14ac:dyDescent="0.3">
      <c r="A159" s="68"/>
      <c r="B159" s="71"/>
      <c r="C159" s="71"/>
      <c r="D159" s="74"/>
      <c r="E159" s="76"/>
      <c r="F159" s="78"/>
      <c r="G159" s="74"/>
      <c r="H159" s="76"/>
      <c r="I159" s="80"/>
      <c r="J159" s="11" t="str">
        <f>Matiere_premiere[[#This Row],[Entrepot]]</f>
        <v>E2</v>
      </c>
      <c r="K159" s="9" t="b">
        <f>IF(Matiere_premiere[[#This Row],[INVENTAIRE]]&gt;0,TRUE,FALSE)</f>
        <v>0</v>
      </c>
      <c r="L159" s="65"/>
      <c r="M159" s="16" t="s">
        <v>103</v>
      </c>
      <c r="N159" s="16" t="s">
        <v>271</v>
      </c>
      <c r="O159" s="16" t="s">
        <v>267</v>
      </c>
      <c r="P159" s="16" t="s">
        <v>270</v>
      </c>
      <c r="Q159" s="54">
        <v>65415</v>
      </c>
      <c r="R159" s="13" t="s">
        <v>74</v>
      </c>
      <c r="S159" s="14">
        <v>0</v>
      </c>
      <c r="T159" s="14"/>
      <c r="U159" s="14"/>
      <c r="V159" s="14">
        <f>SUM(Matiere_premiere[[#This Row],[INVENTAIRE]],-Matiere_premiere[[#This Row],[Entrée]],-Matiere_premiere[[#This Row],[Sortis]])</f>
        <v>0</v>
      </c>
      <c r="W159" s="50" t="str">
        <f>CONCATENATE(Matiere_premiere[[#This Row],[CODE COLEUR]],"_",Matiere_premiere[[#This Row],[COULEUR]],"_",Matiere_premiere[[#This Row],[CODE FAB]],"_",Matiere_premiere[[#This Row],[Num de Lot]])</f>
        <v>C05_TERRA_NM15-05.01_65415</v>
      </c>
    </row>
    <row r="160" spans="1:23" ht="19.7" customHeight="1" thickBot="1" x14ac:dyDescent="0.3">
      <c r="A160" s="68"/>
      <c r="B160" s="71"/>
      <c r="C160" s="71"/>
      <c r="D160" s="74"/>
      <c r="E160" s="76"/>
      <c r="F160" s="78"/>
      <c r="G160" s="74"/>
      <c r="H160" s="76"/>
      <c r="I160" s="80"/>
      <c r="J160" s="11" t="str">
        <f>Matiere_premiere[[#This Row],[Entrepot]]</f>
        <v>E3</v>
      </c>
      <c r="K160" s="9" t="b">
        <f>IF(Matiere_premiere[[#This Row],[INVENTAIRE]]&gt;0,TRUE,FALSE)</f>
        <v>0</v>
      </c>
      <c r="L160" s="65"/>
      <c r="M160" s="16" t="s">
        <v>103</v>
      </c>
      <c r="N160" s="16" t="s">
        <v>271</v>
      </c>
      <c r="O160" s="16" t="s">
        <v>267</v>
      </c>
      <c r="P160" s="16" t="s">
        <v>270</v>
      </c>
      <c r="Q160" s="54">
        <v>65415</v>
      </c>
      <c r="R160" s="13" t="s">
        <v>73</v>
      </c>
      <c r="S160" s="14">
        <v>0</v>
      </c>
      <c r="T160" s="14"/>
      <c r="U160" s="14"/>
      <c r="V160" s="14">
        <f>SUM(Matiere_premiere[[#This Row],[INVENTAIRE]],-Matiere_premiere[[#This Row],[Entrée]],-Matiere_premiere[[#This Row],[Sortis]])</f>
        <v>0</v>
      </c>
      <c r="W160" s="50" t="str">
        <f>CONCATENATE(Matiere_premiere[[#This Row],[CODE COLEUR]],"_",Matiere_premiere[[#This Row],[COULEUR]],"_",Matiere_premiere[[#This Row],[CODE FAB]],"_",Matiere_premiere[[#This Row],[Num de Lot]])</f>
        <v>C05_TERRA_NM15-05.01_65415</v>
      </c>
    </row>
    <row r="161" spans="1:23" ht="19.7" customHeight="1" thickBot="1" x14ac:dyDescent="0.3">
      <c r="A161" s="69"/>
      <c r="B161" s="72"/>
      <c r="C161" s="72"/>
      <c r="D161" s="75"/>
      <c r="E161" s="77"/>
      <c r="F161" s="79"/>
      <c r="G161" s="75"/>
      <c r="H161" s="77"/>
      <c r="I161" s="81"/>
      <c r="J161" s="10" t="str">
        <f>Matiere_premiere[[#This Row],[Entrepot]]</f>
        <v>Usine</v>
      </c>
      <c r="K161" s="9" t="b">
        <f>IF(Matiere_premiere[[#This Row],[INVENTAIRE]]&gt;0,TRUE,FALSE)</f>
        <v>0</v>
      </c>
      <c r="L161" s="66"/>
      <c r="M161" s="13" t="s">
        <v>103</v>
      </c>
      <c r="N161" s="13" t="s">
        <v>271</v>
      </c>
      <c r="O161" s="13" t="s">
        <v>267</v>
      </c>
      <c r="P161" s="13" t="s">
        <v>270</v>
      </c>
      <c r="Q161" s="55">
        <v>65415</v>
      </c>
      <c r="R161" s="13" t="s">
        <v>68</v>
      </c>
      <c r="S161" s="14">
        <v>0</v>
      </c>
      <c r="T161" s="14"/>
      <c r="U161" s="14"/>
      <c r="V161" s="14">
        <f>SUM(Matiere_premiere[[#This Row],[INVENTAIRE]],-Matiere_premiere[[#This Row],[Entrée]],-Matiere_premiere[[#This Row],[Sortis]])</f>
        <v>0</v>
      </c>
      <c r="W161" s="50" t="str">
        <f>CONCATENATE(Matiere_premiere[[#This Row],[CODE COLEUR]],"_",Matiere_premiere[[#This Row],[COULEUR]],"_",Matiere_premiere[[#This Row],[CODE FAB]],"_",Matiere_premiere[[#This Row],[Num de Lot]])</f>
        <v>C05_TERRA_NM15-05.01_65415</v>
      </c>
    </row>
    <row r="162" spans="1:23" ht="19.7" customHeight="1" thickTop="1" thickBot="1" x14ac:dyDescent="0.3">
      <c r="A162" s="67" t="str">
        <f>Matiere_premiere[[#This Row],[NUMERO METRIQUE]]</f>
        <v>NM15</v>
      </c>
      <c r="B162" s="70" t="str">
        <f>Matiere_premiere[[#This Row],[COULEUR]]</f>
        <v>MARRON</v>
      </c>
      <c r="C162" s="70" t="str">
        <f>Matiere_premiere[[#This Row],[CODE COLEUR]]</f>
        <v>C05</v>
      </c>
      <c r="D162" s="73" t="str">
        <f>Matiere_premiere[[#This Row],[CODE FAB]]</f>
        <v>NM15-05.02</v>
      </c>
      <c r="E162" s="76" t="e" vm="58">
        <f>_xlfn.IMAGE("https://api.qrserver.com/v1/create-qr-code/?size=100x100&amp;data=" &amp; D162)</f>
        <v>#VALUE!</v>
      </c>
      <c r="F162" s="78"/>
      <c r="G162" s="73" t="str">
        <f>Matiere_premiere[[#This Row],[Num de Lot]]</f>
        <v>S2023</v>
      </c>
      <c r="H162" s="76" t="e" vm="2">
        <f>_xlfn.IMAGE("https://api.qrserver.com/v1/create-qr-code/?size=100x100&amp;data=" &amp; G162)</f>
        <v>#VALUE!</v>
      </c>
      <c r="I162" s="80"/>
      <c r="J162" s="12" t="str">
        <f>Matiere_premiere[[#This Row],[Entrepot]]</f>
        <v>E1</v>
      </c>
      <c r="K162" s="9" t="b">
        <f>IF(Matiere_premiere[[#This Row],[INVENTAIRE]]&gt;0,TRUE,FALSE)</f>
        <v>1</v>
      </c>
      <c r="L162" s="65"/>
      <c r="M162" s="8" t="s">
        <v>103</v>
      </c>
      <c r="N162" s="8" t="s">
        <v>268</v>
      </c>
      <c r="O162" s="8" t="s">
        <v>267</v>
      </c>
      <c r="P162" s="8" t="s">
        <v>269</v>
      </c>
      <c r="Q162" s="53" t="s">
        <v>69</v>
      </c>
      <c r="R162" s="8" t="s">
        <v>75</v>
      </c>
      <c r="S162" s="7">
        <v>56</v>
      </c>
      <c r="T162" s="7"/>
      <c r="U162" s="7"/>
      <c r="V162" s="7">
        <f>SUM(Matiere_premiere[[#This Row],[INVENTAIRE]],-Matiere_premiere[[#This Row],[Entrée]],-Matiere_premiere[[#This Row],[Sortis]])</f>
        <v>56</v>
      </c>
      <c r="W162" s="50" t="str">
        <f>CONCATENATE(Matiere_premiere[[#This Row],[CODE COLEUR]],"_",Matiere_premiere[[#This Row],[COULEUR]],"_",Matiere_premiere[[#This Row],[CODE FAB]],"_",Matiere_premiere[[#This Row],[Num de Lot]])</f>
        <v>C05_MARRON_NM15-05.02_S2023</v>
      </c>
    </row>
    <row r="163" spans="1:23" ht="19.7" customHeight="1" thickBot="1" x14ac:dyDescent="0.3">
      <c r="A163" s="68"/>
      <c r="B163" s="71"/>
      <c r="C163" s="71"/>
      <c r="D163" s="74"/>
      <c r="E163" s="76"/>
      <c r="F163" s="78"/>
      <c r="G163" s="74"/>
      <c r="H163" s="76"/>
      <c r="I163" s="80"/>
      <c r="J163" s="11" t="str">
        <f>Matiere_premiere[[#This Row],[Entrepot]]</f>
        <v>E2</v>
      </c>
      <c r="K163" s="9" t="b">
        <f>IF(Matiere_premiere[[#This Row],[INVENTAIRE]]&gt;0,TRUE,FALSE)</f>
        <v>0</v>
      </c>
      <c r="L163" s="65"/>
      <c r="M163" s="8" t="s">
        <v>103</v>
      </c>
      <c r="N163" s="8" t="s">
        <v>268</v>
      </c>
      <c r="O163" s="8" t="s">
        <v>267</v>
      </c>
      <c r="P163" s="8" t="s">
        <v>269</v>
      </c>
      <c r="Q163" s="53" t="s">
        <v>69</v>
      </c>
      <c r="R163" s="8" t="s">
        <v>74</v>
      </c>
      <c r="S163" s="7">
        <v>0</v>
      </c>
      <c r="T163" s="7"/>
      <c r="U163" s="7"/>
      <c r="V163" s="7">
        <f>SUM(Matiere_premiere[[#This Row],[INVENTAIRE]],-Matiere_premiere[[#This Row],[Entrée]],-Matiere_premiere[[#This Row],[Sortis]])</f>
        <v>0</v>
      </c>
      <c r="W163" s="50" t="str">
        <f>CONCATENATE(Matiere_premiere[[#This Row],[CODE COLEUR]],"_",Matiere_premiere[[#This Row],[COULEUR]],"_",Matiere_premiere[[#This Row],[CODE FAB]],"_",Matiere_premiere[[#This Row],[Num de Lot]])</f>
        <v>C05_MARRON_NM15-05.02_S2023</v>
      </c>
    </row>
    <row r="164" spans="1:23" ht="19.7" customHeight="1" thickBot="1" x14ac:dyDescent="0.3">
      <c r="A164" s="68"/>
      <c r="B164" s="71"/>
      <c r="C164" s="71"/>
      <c r="D164" s="74"/>
      <c r="E164" s="76"/>
      <c r="F164" s="78"/>
      <c r="G164" s="74"/>
      <c r="H164" s="76"/>
      <c r="I164" s="80"/>
      <c r="J164" s="11" t="str">
        <f>Matiere_premiere[[#This Row],[Entrepot]]</f>
        <v>E3</v>
      </c>
      <c r="K164" s="9" t="b">
        <f>IF(Matiere_premiere[[#This Row],[INVENTAIRE]]&gt;0,TRUE,FALSE)</f>
        <v>0</v>
      </c>
      <c r="L164" s="65"/>
      <c r="M164" s="8" t="s">
        <v>103</v>
      </c>
      <c r="N164" s="8" t="s">
        <v>268</v>
      </c>
      <c r="O164" s="8" t="s">
        <v>267</v>
      </c>
      <c r="P164" s="8" t="s">
        <v>269</v>
      </c>
      <c r="Q164" s="53" t="s">
        <v>69</v>
      </c>
      <c r="R164" s="8" t="s">
        <v>73</v>
      </c>
      <c r="S164" s="7">
        <v>0</v>
      </c>
      <c r="T164" s="7"/>
      <c r="U164" s="7"/>
      <c r="V164" s="7">
        <f>SUM(Matiere_premiere[[#This Row],[INVENTAIRE]],-Matiere_premiere[[#This Row],[Entrée]],-Matiere_premiere[[#This Row],[Sortis]])</f>
        <v>0</v>
      </c>
      <c r="W164" s="50" t="str">
        <f>CONCATENATE(Matiere_premiere[[#This Row],[CODE COLEUR]],"_",Matiere_premiere[[#This Row],[COULEUR]],"_",Matiere_premiere[[#This Row],[CODE FAB]],"_",Matiere_premiere[[#This Row],[Num de Lot]])</f>
        <v>C05_MARRON_NM15-05.02_S2023</v>
      </c>
    </row>
    <row r="165" spans="1:23" ht="19.7" customHeight="1" thickBot="1" x14ac:dyDescent="0.3">
      <c r="A165" s="69"/>
      <c r="B165" s="72"/>
      <c r="C165" s="72"/>
      <c r="D165" s="75"/>
      <c r="E165" s="77"/>
      <c r="F165" s="79"/>
      <c r="G165" s="75"/>
      <c r="H165" s="77"/>
      <c r="I165" s="81"/>
      <c r="J165" s="10" t="str">
        <f>Matiere_premiere[[#This Row],[Entrepot]]</f>
        <v>Usine</v>
      </c>
      <c r="K165" s="9" t="b">
        <f>IF(Matiere_premiere[[#This Row],[INVENTAIRE]]&gt;0,TRUE,FALSE)</f>
        <v>0</v>
      </c>
      <c r="L165" s="66"/>
      <c r="M165" s="8" t="s">
        <v>103</v>
      </c>
      <c r="N165" s="8" t="s">
        <v>268</v>
      </c>
      <c r="O165" s="8" t="s">
        <v>267</v>
      </c>
      <c r="P165" s="8" t="s">
        <v>269</v>
      </c>
      <c r="Q165" s="53" t="s">
        <v>69</v>
      </c>
      <c r="R165" s="8" t="s">
        <v>68</v>
      </c>
      <c r="S165" s="7">
        <v>0</v>
      </c>
      <c r="T165" s="7"/>
      <c r="U165" s="7"/>
      <c r="V165" s="7">
        <f>SUM(Matiere_premiere[[#This Row],[INVENTAIRE]],-Matiere_premiere[[#This Row],[Entrée]],-Matiere_premiere[[#This Row],[Sortis]])</f>
        <v>0</v>
      </c>
      <c r="W165" s="50" t="str">
        <f>CONCATENATE(Matiere_premiere[[#This Row],[CODE COLEUR]],"_",Matiere_premiere[[#This Row],[COULEUR]],"_",Matiere_premiere[[#This Row],[CODE FAB]],"_",Matiere_premiere[[#This Row],[Num de Lot]])</f>
        <v>C05_MARRON_NM15-05.02_S2023</v>
      </c>
    </row>
    <row r="166" spans="1:23" ht="19.7" customHeight="1" thickTop="1" thickBot="1" x14ac:dyDescent="0.3">
      <c r="A166" s="67" t="str">
        <f>Matiere_premiere[[#This Row],[NUMERO METRIQUE]]</f>
        <v>NM34</v>
      </c>
      <c r="B166" s="70" t="str">
        <f>Matiere_premiere[[#This Row],[COULEUR]]</f>
        <v>MARRON</v>
      </c>
      <c r="C166" s="70" t="str">
        <f>Matiere_premiere[[#This Row],[CODE COLEUR]]</f>
        <v>C05</v>
      </c>
      <c r="D166" s="73" t="str">
        <f>Matiere_premiere[[#This Row],[CODE FAB]]</f>
        <v>NM34-05.00</v>
      </c>
      <c r="E166" s="76" t="e" vm="59">
        <f>_xlfn.IMAGE("https://api.qrserver.com/v1/create-qr-code/?size=100x100&amp;data=" &amp; D166)</f>
        <v>#VALUE!</v>
      </c>
      <c r="F166" s="78"/>
      <c r="G166" s="73" t="str">
        <f>Matiere_premiere[[#This Row],[Num de Lot]]</f>
        <v>S2024</v>
      </c>
      <c r="H166" s="76" t="e" vm="20">
        <f>_xlfn.IMAGE("https://api.qrserver.com/v1/create-qr-code/?size=100x100&amp;data=" &amp; G166)</f>
        <v>#VALUE!</v>
      </c>
      <c r="I166" s="80"/>
      <c r="J166" s="12" t="str">
        <f>Matiere_premiere[[#This Row],[Entrepot]]</f>
        <v>E1</v>
      </c>
      <c r="K166" s="9" t="b">
        <f>IF(Matiere_premiere[[#This Row],[INVENTAIRE]]&gt;0,TRUE,FALSE)</f>
        <v>0</v>
      </c>
      <c r="L166" s="65"/>
      <c r="M166" s="13" t="s">
        <v>179</v>
      </c>
      <c r="N166" s="13" t="s">
        <v>268</v>
      </c>
      <c r="O166" s="13" t="s">
        <v>267</v>
      </c>
      <c r="P166" s="13" t="s">
        <v>266</v>
      </c>
      <c r="Q166" s="55" t="s">
        <v>175</v>
      </c>
      <c r="R166" s="13" t="s">
        <v>75</v>
      </c>
      <c r="S166" s="14">
        <v>0</v>
      </c>
      <c r="T166" s="14"/>
      <c r="U166" s="14"/>
      <c r="V166" s="14">
        <f>SUM(Matiere_premiere[[#This Row],[INVENTAIRE]],-Matiere_premiere[[#This Row],[Entrée]],-Matiere_premiere[[#This Row],[Sortis]])</f>
        <v>0</v>
      </c>
      <c r="W166" s="50" t="str">
        <f>CONCATENATE(Matiere_premiere[[#This Row],[CODE COLEUR]],"_",Matiere_premiere[[#This Row],[COULEUR]],"_",Matiere_premiere[[#This Row],[CODE FAB]],"_",Matiere_premiere[[#This Row],[Num de Lot]])</f>
        <v>C05_MARRON_NM34-05.00_S2024</v>
      </c>
    </row>
    <row r="167" spans="1:23" ht="19.7" customHeight="1" thickBot="1" x14ac:dyDescent="0.3">
      <c r="A167" s="68"/>
      <c r="B167" s="71"/>
      <c r="C167" s="71"/>
      <c r="D167" s="74"/>
      <c r="E167" s="76"/>
      <c r="F167" s="78"/>
      <c r="G167" s="74"/>
      <c r="H167" s="76"/>
      <c r="I167" s="80"/>
      <c r="J167" s="11" t="str">
        <f>Matiere_premiere[[#This Row],[Entrepot]]</f>
        <v>E2</v>
      </c>
      <c r="K167" s="9" t="b">
        <f>IF(Matiere_premiere[[#This Row],[INVENTAIRE]]&gt;0,TRUE,FALSE)</f>
        <v>0</v>
      </c>
      <c r="L167" s="65"/>
      <c r="M167" s="13" t="s">
        <v>179</v>
      </c>
      <c r="N167" s="13" t="s">
        <v>268</v>
      </c>
      <c r="O167" s="13" t="s">
        <v>267</v>
      </c>
      <c r="P167" s="13" t="s">
        <v>266</v>
      </c>
      <c r="Q167" s="55" t="s">
        <v>175</v>
      </c>
      <c r="R167" s="13" t="s">
        <v>74</v>
      </c>
      <c r="S167" s="14">
        <v>0</v>
      </c>
      <c r="T167" s="14"/>
      <c r="U167" s="14"/>
      <c r="V167" s="14">
        <f>SUM(Matiere_premiere[[#This Row],[INVENTAIRE]],-Matiere_premiere[[#This Row],[Entrée]],-Matiere_premiere[[#This Row],[Sortis]])</f>
        <v>0</v>
      </c>
      <c r="W167" s="50" t="str">
        <f>CONCATENATE(Matiere_premiere[[#This Row],[CODE COLEUR]],"_",Matiere_premiere[[#This Row],[COULEUR]],"_",Matiere_premiere[[#This Row],[CODE FAB]],"_",Matiere_premiere[[#This Row],[Num de Lot]])</f>
        <v>C05_MARRON_NM34-05.00_S2024</v>
      </c>
    </row>
    <row r="168" spans="1:23" ht="19.7" customHeight="1" thickBot="1" x14ac:dyDescent="0.3">
      <c r="A168" s="68"/>
      <c r="B168" s="71"/>
      <c r="C168" s="71"/>
      <c r="D168" s="74"/>
      <c r="E168" s="76"/>
      <c r="F168" s="78"/>
      <c r="G168" s="74"/>
      <c r="H168" s="76"/>
      <c r="I168" s="80"/>
      <c r="J168" s="11" t="str">
        <f>Matiere_premiere[[#This Row],[Entrepot]]</f>
        <v>E3</v>
      </c>
      <c r="K168" s="9" t="b">
        <f>IF(Matiere_premiere[[#This Row],[INVENTAIRE]]&gt;0,TRUE,FALSE)</f>
        <v>0</v>
      </c>
      <c r="L168" s="65"/>
      <c r="M168" s="13" t="s">
        <v>179</v>
      </c>
      <c r="N168" s="13" t="s">
        <v>268</v>
      </c>
      <c r="O168" s="13" t="s">
        <v>267</v>
      </c>
      <c r="P168" s="13" t="s">
        <v>266</v>
      </c>
      <c r="Q168" s="55" t="s">
        <v>175</v>
      </c>
      <c r="R168" s="13" t="s">
        <v>73</v>
      </c>
      <c r="S168" s="14">
        <v>0</v>
      </c>
      <c r="T168" s="14"/>
      <c r="U168" s="14"/>
      <c r="V168" s="14">
        <f>SUM(Matiere_premiere[[#This Row],[INVENTAIRE]],-Matiere_premiere[[#This Row],[Entrée]],-Matiere_premiere[[#This Row],[Sortis]])</f>
        <v>0</v>
      </c>
      <c r="W168" s="50" t="str">
        <f>CONCATENATE(Matiere_premiere[[#This Row],[CODE COLEUR]],"_",Matiere_premiere[[#This Row],[COULEUR]],"_",Matiere_premiere[[#This Row],[CODE FAB]],"_",Matiere_premiere[[#This Row],[Num de Lot]])</f>
        <v>C05_MARRON_NM34-05.00_S2024</v>
      </c>
    </row>
    <row r="169" spans="1:23" ht="19.7" customHeight="1" thickBot="1" x14ac:dyDescent="0.3">
      <c r="A169" s="69"/>
      <c r="B169" s="72"/>
      <c r="C169" s="72"/>
      <c r="D169" s="75"/>
      <c r="E169" s="77"/>
      <c r="F169" s="79"/>
      <c r="G169" s="75"/>
      <c r="H169" s="77"/>
      <c r="I169" s="81"/>
      <c r="J169" s="10" t="str">
        <f>Matiere_premiere[[#This Row],[Entrepot]]</f>
        <v>Usine</v>
      </c>
      <c r="K169" s="9" t="b">
        <f>IF(Matiere_premiere[[#This Row],[INVENTAIRE]]&gt;0,TRUE,FALSE)</f>
        <v>1</v>
      </c>
      <c r="L169" s="66"/>
      <c r="M169" s="13" t="s">
        <v>179</v>
      </c>
      <c r="N169" s="13" t="s">
        <v>268</v>
      </c>
      <c r="O169" s="13" t="s">
        <v>267</v>
      </c>
      <c r="P169" s="13" t="s">
        <v>266</v>
      </c>
      <c r="Q169" s="55" t="s">
        <v>175</v>
      </c>
      <c r="R169" s="13" t="s">
        <v>68</v>
      </c>
      <c r="S169" s="14">
        <v>51</v>
      </c>
      <c r="T169" s="14"/>
      <c r="U169" s="14"/>
      <c r="V169" s="14">
        <f>SUM(Matiere_premiere[[#This Row],[INVENTAIRE]],-Matiere_premiere[[#This Row],[Entrée]],-Matiere_premiere[[#This Row],[Sortis]])</f>
        <v>51</v>
      </c>
      <c r="W169" s="50" t="str">
        <f>CONCATENATE(Matiere_premiere[[#This Row],[CODE COLEUR]],"_",Matiere_premiere[[#This Row],[COULEUR]],"_",Matiere_premiere[[#This Row],[CODE FAB]],"_",Matiere_premiere[[#This Row],[Num de Lot]])</f>
        <v>C05_MARRON_NM34-05.00_S2024</v>
      </c>
    </row>
    <row r="170" spans="1:23" ht="19.7" customHeight="1" thickTop="1" thickBot="1" x14ac:dyDescent="0.3">
      <c r="A170" s="67" t="str">
        <f>Matiere_premiere[[#This Row],[NUMERO METRIQUE]]</f>
        <v>NM05</v>
      </c>
      <c r="B170" s="70" t="str">
        <f>Matiere_premiere[[#This Row],[COULEUR]]</f>
        <v>GRIS CLAIR</v>
      </c>
      <c r="C170" s="70" t="str">
        <f>Matiere_premiere[[#This Row],[CODE COLEUR]]</f>
        <v>C06</v>
      </c>
      <c r="D170" s="73" t="str">
        <f>Matiere_premiere[[#This Row],[CODE FAB]]</f>
        <v>NM05-06.00</v>
      </c>
      <c r="E170" s="76" t="e" vm="60">
        <f>_xlfn.IMAGE("https://api.qrserver.com/v1/create-qr-code/?size=100x100&amp;data=" &amp; D170)</f>
        <v>#VALUE!</v>
      </c>
      <c r="F170" s="78"/>
      <c r="G170" s="73" t="str">
        <f>Matiere_premiere[[#This Row],[Num de Lot]]</f>
        <v>S2023</v>
      </c>
      <c r="H170" s="76" t="e" vm="2">
        <f>_xlfn.IMAGE("https://api.qrserver.com/v1/create-qr-code/?size=100x100&amp;data=" &amp; G170)</f>
        <v>#VALUE!</v>
      </c>
      <c r="I170" s="80"/>
      <c r="J170" s="12" t="str">
        <f>Matiere_premiere[[#This Row],[Entrepot]]</f>
        <v>E1</v>
      </c>
      <c r="K170" s="9" t="b">
        <f>IF(Matiere_premiere[[#This Row],[INVENTAIRE]]&gt;0,TRUE,FALSE)</f>
        <v>1</v>
      </c>
      <c r="L170" s="65"/>
      <c r="M170" s="8" t="s">
        <v>119</v>
      </c>
      <c r="N170" s="8" t="s">
        <v>262</v>
      </c>
      <c r="O170" s="8" t="s">
        <v>261</v>
      </c>
      <c r="P170" s="8" t="s">
        <v>265</v>
      </c>
      <c r="Q170" s="53" t="s">
        <v>69</v>
      </c>
      <c r="R170" s="8" t="s">
        <v>75</v>
      </c>
      <c r="S170" s="7">
        <v>689.5</v>
      </c>
      <c r="T170" s="7"/>
      <c r="U170" s="7"/>
      <c r="V170" s="7">
        <f>SUM(Matiere_premiere[[#This Row],[INVENTAIRE]],-Matiere_premiere[[#This Row],[Entrée]],-Matiere_premiere[[#This Row],[Sortis]])</f>
        <v>689.5</v>
      </c>
      <c r="W170" s="50" t="str">
        <f>CONCATENATE(Matiere_premiere[[#This Row],[CODE COLEUR]],"_",Matiere_premiere[[#This Row],[COULEUR]],"_",Matiere_premiere[[#This Row],[CODE FAB]],"_",Matiere_premiere[[#This Row],[Num de Lot]])</f>
        <v>C06_GRIS CLAIR_NM05-06.00_S2023</v>
      </c>
    </row>
    <row r="171" spans="1:23" ht="19.7" customHeight="1" thickBot="1" x14ac:dyDescent="0.3">
      <c r="A171" s="68"/>
      <c r="B171" s="71"/>
      <c r="C171" s="71"/>
      <c r="D171" s="74"/>
      <c r="E171" s="76"/>
      <c r="F171" s="78"/>
      <c r="G171" s="74"/>
      <c r="H171" s="76"/>
      <c r="I171" s="80"/>
      <c r="J171" s="11" t="str">
        <f>Matiere_premiere[[#This Row],[Entrepot]]</f>
        <v>E2</v>
      </c>
      <c r="K171" s="9" t="b">
        <f>IF(Matiere_premiere[[#This Row],[INVENTAIRE]]&gt;0,TRUE,FALSE)</f>
        <v>0</v>
      </c>
      <c r="L171" s="65"/>
      <c r="M171" s="8" t="s">
        <v>119</v>
      </c>
      <c r="N171" s="8" t="s">
        <v>262</v>
      </c>
      <c r="O171" s="8" t="s">
        <v>261</v>
      </c>
      <c r="P171" s="8" t="s">
        <v>265</v>
      </c>
      <c r="Q171" s="53" t="s">
        <v>69</v>
      </c>
      <c r="R171" s="8" t="s">
        <v>74</v>
      </c>
      <c r="S171" s="7">
        <v>0</v>
      </c>
      <c r="T171" s="7"/>
      <c r="U171" s="7"/>
      <c r="V171" s="7">
        <f>SUM(Matiere_premiere[[#This Row],[INVENTAIRE]],-Matiere_premiere[[#This Row],[Entrée]],-Matiere_premiere[[#This Row],[Sortis]])</f>
        <v>0</v>
      </c>
      <c r="W171" s="50" t="str">
        <f>CONCATENATE(Matiere_premiere[[#This Row],[CODE COLEUR]],"_",Matiere_premiere[[#This Row],[COULEUR]],"_",Matiere_premiere[[#This Row],[CODE FAB]],"_",Matiere_premiere[[#This Row],[Num de Lot]])</f>
        <v>C06_GRIS CLAIR_NM05-06.00_S2023</v>
      </c>
    </row>
    <row r="172" spans="1:23" ht="19.7" customHeight="1" thickBot="1" x14ac:dyDescent="0.3">
      <c r="A172" s="68"/>
      <c r="B172" s="71"/>
      <c r="C172" s="71"/>
      <c r="D172" s="74"/>
      <c r="E172" s="76"/>
      <c r="F172" s="78"/>
      <c r="G172" s="74"/>
      <c r="H172" s="76"/>
      <c r="I172" s="80"/>
      <c r="J172" s="11" t="str">
        <f>Matiere_premiere[[#This Row],[Entrepot]]</f>
        <v>E3</v>
      </c>
      <c r="K172" s="9" t="b">
        <f>IF(Matiere_premiere[[#This Row],[INVENTAIRE]]&gt;0,TRUE,FALSE)</f>
        <v>0</v>
      </c>
      <c r="L172" s="65"/>
      <c r="M172" s="8" t="s">
        <v>119</v>
      </c>
      <c r="N172" s="8" t="s">
        <v>262</v>
      </c>
      <c r="O172" s="8" t="s">
        <v>261</v>
      </c>
      <c r="P172" s="8" t="s">
        <v>265</v>
      </c>
      <c r="Q172" s="53" t="s">
        <v>69</v>
      </c>
      <c r="R172" s="8" t="s">
        <v>73</v>
      </c>
      <c r="S172" s="7">
        <v>0</v>
      </c>
      <c r="T172" s="7"/>
      <c r="U172" s="7"/>
      <c r="V172" s="7">
        <f>SUM(Matiere_premiere[[#This Row],[INVENTAIRE]],-Matiere_premiere[[#This Row],[Entrée]],-Matiere_premiere[[#This Row],[Sortis]])</f>
        <v>0</v>
      </c>
      <c r="W172" s="50" t="str">
        <f>CONCATENATE(Matiere_premiere[[#This Row],[CODE COLEUR]],"_",Matiere_premiere[[#This Row],[COULEUR]],"_",Matiere_premiere[[#This Row],[CODE FAB]],"_",Matiere_premiere[[#This Row],[Num de Lot]])</f>
        <v>C06_GRIS CLAIR_NM05-06.00_S2023</v>
      </c>
    </row>
    <row r="173" spans="1:23" ht="19.7" customHeight="1" thickBot="1" x14ac:dyDescent="0.3">
      <c r="A173" s="69"/>
      <c r="B173" s="72"/>
      <c r="C173" s="72"/>
      <c r="D173" s="75"/>
      <c r="E173" s="77"/>
      <c r="F173" s="79"/>
      <c r="G173" s="75"/>
      <c r="H173" s="77"/>
      <c r="I173" s="81"/>
      <c r="J173" s="10" t="str">
        <f>Matiere_premiere[[#This Row],[Entrepot]]</f>
        <v>Usine</v>
      </c>
      <c r="K173" s="9" t="b">
        <f>IF(Matiere_premiere[[#This Row],[INVENTAIRE]]&gt;0,TRUE,FALSE)</f>
        <v>0</v>
      </c>
      <c r="L173" s="66"/>
      <c r="M173" s="8" t="s">
        <v>119</v>
      </c>
      <c r="N173" s="8" t="s">
        <v>262</v>
      </c>
      <c r="O173" s="8" t="s">
        <v>261</v>
      </c>
      <c r="P173" s="8" t="s">
        <v>265</v>
      </c>
      <c r="Q173" s="53" t="s">
        <v>69</v>
      </c>
      <c r="R173" s="8" t="s">
        <v>68</v>
      </c>
      <c r="S173" s="7">
        <v>0</v>
      </c>
      <c r="T173" s="7"/>
      <c r="U173" s="7"/>
      <c r="V173" s="7">
        <f>SUM(Matiere_premiere[[#This Row],[INVENTAIRE]],-Matiere_premiere[[#This Row],[Entrée]],-Matiere_premiere[[#This Row],[Sortis]])</f>
        <v>0</v>
      </c>
      <c r="W173" s="50" t="str">
        <f>CONCATENATE(Matiere_premiere[[#This Row],[CODE COLEUR]],"_",Matiere_premiere[[#This Row],[COULEUR]],"_",Matiere_premiere[[#This Row],[CODE FAB]],"_",Matiere_premiere[[#This Row],[Num de Lot]])</f>
        <v>C06_GRIS CLAIR_NM05-06.00_S2023</v>
      </c>
    </row>
    <row r="174" spans="1:23" ht="19.7" customHeight="1" thickTop="1" thickBot="1" x14ac:dyDescent="0.3">
      <c r="A174" s="67" t="str">
        <f>Matiere_premiere[[#This Row],[NUMERO METRIQUE]]</f>
        <v>NM05</v>
      </c>
      <c r="B174" s="70" t="str">
        <f>Matiere_premiere[[#This Row],[COULEUR]]</f>
        <v>GRIS CLAIR</v>
      </c>
      <c r="C174" s="70" t="str">
        <f>Matiere_premiere[[#This Row],[CODE COLEUR]]</f>
        <v>C06</v>
      </c>
      <c r="D174" s="73" t="str">
        <f>Matiere_premiere[[#This Row],[CODE FAB]]</f>
        <v>NM05-06.00</v>
      </c>
      <c r="E174" s="76" t="e" vm="60">
        <f>_xlfn.IMAGE("https://api.qrserver.com/v1/create-qr-code/?size=100x100&amp;data=" &amp; D174)</f>
        <v>#VALUE!</v>
      </c>
      <c r="F174" s="78"/>
      <c r="G174" s="73">
        <f>Matiere_premiere[[#This Row],[Num de Lot]]</f>
        <v>59935</v>
      </c>
      <c r="H174" s="76" t="e" vm="61">
        <f>_xlfn.IMAGE("https://api.qrserver.com/v1/create-qr-code/?size=100x100&amp;data=" &amp; G174)</f>
        <v>#VALUE!</v>
      </c>
      <c r="I174" s="80"/>
      <c r="J174" s="12" t="str">
        <f>Matiere_premiere[[#This Row],[Entrepot]]</f>
        <v>E1</v>
      </c>
      <c r="K174" s="9" t="b">
        <f>IF(Matiere_premiere[[#This Row],[INVENTAIRE]]&gt;0,TRUE,FALSE)</f>
        <v>0</v>
      </c>
      <c r="L174" s="65"/>
      <c r="M174" s="13" t="s">
        <v>119</v>
      </c>
      <c r="N174" s="13" t="s">
        <v>262</v>
      </c>
      <c r="O174" s="13" t="s">
        <v>261</v>
      </c>
      <c r="P174" s="13" t="s">
        <v>265</v>
      </c>
      <c r="Q174" s="55">
        <v>59935</v>
      </c>
      <c r="R174" s="13" t="s">
        <v>75</v>
      </c>
      <c r="S174" s="14">
        <v>0</v>
      </c>
      <c r="T174" s="14"/>
      <c r="U174" s="14"/>
      <c r="V174" s="14">
        <f>SUM(Matiere_premiere[[#This Row],[INVENTAIRE]],-Matiere_premiere[[#This Row],[Entrée]],-Matiere_premiere[[#This Row],[Sortis]])</f>
        <v>0</v>
      </c>
      <c r="W174" s="50" t="str">
        <f>CONCATENATE(Matiere_premiere[[#This Row],[CODE COLEUR]],"_",Matiere_premiere[[#This Row],[COULEUR]],"_",Matiere_premiere[[#This Row],[CODE FAB]],"_",Matiere_premiere[[#This Row],[Num de Lot]])</f>
        <v>C06_GRIS CLAIR_NM05-06.00_59935</v>
      </c>
    </row>
    <row r="175" spans="1:23" ht="19.7" customHeight="1" thickBot="1" x14ac:dyDescent="0.3">
      <c r="A175" s="68"/>
      <c r="B175" s="71"/>
      <c r="C175" s="71"/>
      <c r="D175" s="74"/>
      <c r="E175" s="76"/>
      <c r="F175" s="78"/>
      <c r="G175" s="74"/>
      <c r="H175" s="76"/>
      <c r="I175" s="80"/>
      <c r="J175" s="11" t="str">
        <f>Matiere_premiere[[#This Row],[Entrepot]]</f>
        <v>E2</v>
      </c>
      <c r="K175" s="9" t="b">
        <f>IF(Matiere_premiere[[#This Row],[INVENTAIRE]]&gt;0,TRUE,FALSE)</f>
        <v>0</v>
      </c>
      <c r="L175" s="65"/>
      <c r="M175" s="13" t="s">
        <v>119</v>
      </c>
      <c r="N175" s="13" t="s">
        <v>262</v>
      </c>
      <c r="O175" s="13" t="s">
        <v>261</v>
      </c>
      <c r="P175" s="13" t="s">
        <v>265</v>
      </c>
      <c r="Q175" s="55">
        <v>59935</v>
      </c>
      <c r="R175" s="13" t="s">
        <v>74</v>
      </c>
      <c r="S175" s="14">
        <v>0</v>
      </c>
      <c r="T175" s="14"/>
      <c r="U175" s="14"/>
      <c r="V175" s="14">
        <f>SUM(Matiere_premiere[[#This Row],[INVENTAIRE]],-Matiere_premiere[[#This Row],[Entrée]],-Matiere_premiere[[#This Row],[Sortis]])</f>
        <v>0</v>
      </c>
      <c r="W175" s="50" t="str">
        <f>CONCATENATE(Matiere_premiere[[#This Row],[CODE COLEUR]],"_",Matiere_premiere[[#This Row],[COULEUR]],"_",Matiere_premiere[[#This Row],[CODE FAB]],"_",Matiere_premiere[[#This Row],[Num de Lot]])</f>
        <v>C06_GRIS CLAIR_NM05-06.00_59935</v>
      </c>
    </row>
    <row r="176" spans="1:23" ht="19.7" customHeight="1" thickBot="1" x14ac:dyDescent="0.3">
      <c r="A176" s="68"/>
      <c r="B176" s="71"/>
      <c r="C176" s="71"/>
      <c r="D176" s="74"/>
      <c r="E176" s="76"/>
      <c r="F176" s="78"/>
      <c r="G176" s="74"/>
      <c r="H176" s="76"/>
      <c r="I176" s="80"/>
      <c r="J176" s="11" t="str">
        <f>Matiere_premiere[[#This Row],[Entrepot]]</f>
        <v>E3</v>
      </c>
      <c r="K176" s="9" t="b">
        <f>IF(Matiere_premiere[[#This Row],[INVENTAIRE]]&gt;0,TRUE,FALSE)</f>
        <v>1</v>
      </c>
      <c r="L176" s="65"/>
      <c r="M176" s="13" t="s">
        <v>119</v>
      </c>
      <c r="N176" s="13" t="s">
        <v>262</v>
      </c>
      <c r="O176" s="13" t="s">
        <v>261</v>
      </c>
      <c r="P176" s="13" t="s">
        <v>265</v>
      </c>
      <c r="Q176" s="55">
        <v>59935</v>
      </c>
      <c r="R176" s="13" t="s">
        <v>73</v>
      </c>
      <c r="S176" s="14">
        <v>1018.5</v>
      </c>
      <c r="T176" s="14"/>
      <c r="U176" s="14"/>
      <c r="V176" s="14">
        <f>SUM(Matiere_premiere[[#This Row],[INVENTAIRE]],-Matiere_premiere[[#This Row],[Entrée]],-Matiere_premiere[[#This Row],[Sortis]])</f>
        <v>1018.5</v>
      </c>
      <c r="W176" s="50" t="str">
        <f>CONCATENATE(Matiere_premiere[[#This Row],[CODE COLEUR]],"_",Matiere_premiere[[#This Row],[COULEUR]],"_",Matiere_premiere[[#This Row],[CODE FAB]],"_",Matiere_premiere[[#This Row],[Num de Lot]])</f>
        <v>C06_GRIS CLAIR_NM05-06.00_59935</v>
      </c>
    </row>
    <row r="177" spans="1:23" ht="19.7" customHeight="1" thickBot="1" x14ac:dyDescent="0.3">
      <c r="A177" s="69"/>
      <c r="B177" s="72"/>
      <c r="C177" s="72"/>
      <c r="D177" s="75"/>
      <c r="E177" s="77"/>
      <c r="F177" s="79"/>
      <c r="G177" s="75"/>
      <c r="H177" s="77"/>
      <c r="I177" s="81"/>
      <c r="J177" s="10" t="str">
        <f>Matiere_premiere[[#This Row],[Entrepot]]</f>
        <v>Usine</v>
      </c>
      <c r="K177" s="9" t="b">
        <f>IF(Matiere_premiere[[#This Row],[INVENTAIRE]]&gt;0,TRUE,FALSE)</f>
        <v>0</v>
      </c>
      <c r="L177" s="66"/>
      <c r="M177" s="13" t="s">
        <v>119</v>
      </c>
      <c r="N177" s="13" t="s">
        <v>262</v>
      </c>
      <c r="O177" s="13" t="s">
        <v>261</v>
      </c>
      <c r="P177" s="13" t="s">
        <v>265</v>
      </c>
      <c r="Q177" s="55">
        <v>59935</v>
      </c>
      <c r="R177" s="13" t="s">
        <v>68</v>
      </c>
      <c r="S177" s="14">
        <v>0</v>
      </c>
      <c r="T177" s="14"/>
      <c r="U177" s="14"/>
      <c r="V177" s="14">
        <f>SUM(Matiere_premiere[[#This Row],[INVENTAIRE]],-Matiere_premiere[[#This Row],[Entrée]],-Matiere_premiere[[#This Row],[Sortis]])</f>
        <v>0</v>
      </c>
      <c r="W177" s="50" t="str">
        <f>CONCATENATE(Matiere_premiere[[#This Row],[CODE COLEUR]],"_",Matiere_premiere[[#This Row],[COULEUR]],"_",Matiere_premiere[[#This Row],[CODE FAB]],"_",Matiere_premiere[[#This Row],[Num de Lot]])</f>
        <v>C06_GRIS CLAIR_NM05-06.00_59935</v>
      </c>
    </row>
    <row r="178" spans="1:23" ht="19.7" customHeight="1" thickTop="1" thickBot="1" x14ac:dyDescent="0.3">
      <c r="A178" s="67" t="str">
        <f>Matiere_premiere[[#This Row],[NUMERO METRIQUE]]</f>
        <v>NM12/2</v>
      </c>
      <c r="B178" s="70" t="str">
        <f>Matiere_premiere[[#This Row],[COULEUR]]</f>
        <v>GRIS CLAIR</v>
      </c>
      <c r="C178" s="70" t="str">
        <f>Matiere_premiere[[#This Row],[CODE COLEUR]]</f>
        <v>C06</v>
      </c>
      <c r="D178" s="73" t="str">
        <f>Matiere_premiere[[#This Row],[CODE FAB]]</f>
        <v>NM12.02-06.00</v>
      </c>
      <c r="E178" s="76" t="e" vm="62">
        <f>_xlfn.IMAGE("https://api.qrserver.com/v1/create-qr-code/?size=100x100&amp;data=" &amp; D178)</f>
        <v>#VALUE!</v>
      </c>
      <c r="F178" s="78"/>
      <c r="G178" s="73" t="str">
        <f>Matiere_premiere[[#This Row],[Num de Lot]]</f>
        <v>S2023</v>
      </c>
      <c r="H178" s="76" t="e" vm="2">
        <f>_xlfn.IMAGE("https://api.qrserver.com/v1/create-qr-code/?size=100x100&amp;data=" &amp; G178)</f>
        <v>#VALUE!</v>
      </c>
      <c r="I178" s="80"/>
      <c r="J178" s="12" t="str">
        <f>Matiere_premiere[[#This Row],[Entrepot]]</f>
        <v>E1</v>
      </c>
      <c r="K178" s="9" t="b">
        <f>IF(Matiere_premiere[[#This Row],[INVENTAIRE]]&gt;0,TRUE,FALSE)</f>
        <v>0</v>
      </c>
      <c r="L178" s="65"/>
      <c r="M178" s="8" t="s">
        <v>229</v>
      </c>
      <c r="N178" s="8" t="s">
        <v>262</v>
      </c>
      <c r="O178" s="8" t="s">
        <v>261</v>
      </c>
      <c r="P178" s="8" t="s">
        <v>264</v>
      </c>
      <c r="Q178" s="53" t="s">
        <v>69</v>
      </c>
      <c r="R178" s="8" t="s">
        <v>75</v>
      </c>
      <c r="S178" s="7">
        <v>0</v>
      </c>
      <c r="T178" s="7"/>
      <c r="U178" s="7"/>
      <c r="V178" s="7">
        <f>SUM(Matiere_premiere[[#This Row],[INVENTAIRE]],-Matiere_premiere[[#This Row],[Entrée]],-Matiere_premiere[[#This Row],[Sortis]])</f>
        <v>0</v>
      </c>
      <c r="W178" s="50" t="str">
        <f>CONCATENATE(Matiere_premiere[[#This Row],[CODE COLEUR]],"_",Matiere_premiere[[#This Row],[COULEUR]],"_",Matiere_premiere[[#This Row],[CODE FAB]],"_",Matiere_premiere[[#This Row],[Num de Lot]])</f>
        <v>C06_GRIS CLAIR_NM12.02-06.00_S2023</v>
      </c>
    </row>
    <row r="179" spans="1:23" ht="19.7" customHeight="1" thickBot="1" x14ac:dyDescent="0.3">
      <c r="A179" s="68"/>
      <c r="B179" s="71"/>
      <c r="C179" s="71"/>
      <c r="D179" s="74"/>
      <c r="E179" s="76"/>
      <c r="F179" s="78"/>
      <c r="G179" s="74"/>
      <c r="H179" s="76"/>
      <c r="I179" s="80"/>
      <c r="J179" s="11" t="str">
        <f>Matiere_premiere[[#This Row],[Entrepot]]</f>
        <v>E2</v>
      </c>
      <c r="K179" s="9" t="b">
        <f>IF(Matiere_premiere[[#This Row],[INVENTAIRE]]&gt;0,TRUE,FALSE)</f>
        <v>1</v>
      </c>
      <c r="L179" s="65"/>
      <c r="M179" s="8" t="s">
        <v>229</v>
      </c>
      <c r="N179" s="8" t="s">
        <v>262</v>
      </c>
      <c r="O179" s="8" t="s">
        <v>261</v>
      </c>
      <c r="P179" s="8" t="s">
        <v>264</v>
      </c>
      <c r="Q179" s="53" t="s">
        <v>69</v>
      </c>
      <c r="R179" s="8" t="s">
        <v>74</v>
      </c>
      <c r="S179" s="7">
        <v>714</v>
      </c>
      <c r="T179" s="7"/>
      <c r="U179" s="7"/>
      <c r="V179" s="7">
        <f>SUM(Matiere_premiere[[#This Row],[INVENTAIRE]],-Matiere_premiere[[#This Row],[Entrée]],-Matiere_premiere[[#This Row],[Sortis]])</f>
        <v>714</v>
      </c>
      <c r="W179" s="50" t="str">
        <f>CONCATENATE(Matiere_premiere[[#This Row],[CODE COLEUR]],"_",Matiere_premiere[[#This Row],[COULEUR]],"_",Matiere_premiere[[#This Row],[CODE FAB]],"_",Matiere_premiere[[#This Row],[Num de Lot]])</f>
        <v>C06_GRIS CLAIR_NM12.02-06.00_S2023</v>
      </c>
    </row>
    <row r="180" spans="1:23" ht="19.7" customHeight="1" thickBot="1" x14ac:dyDescent="0.3">
      <c r="A180" s="68"/>
      <c r="B180" s="71"/>
      <c r="C180" s="71"/>
      <c r="D180" s="74"/>
      <c r="E180" s="76"/>
      <c r="F180" s="78"/>
      <c r="G180" s="74"/>
      <c r="H180" s="76"/>
      <c r="I180" s="80"/>
      <c r="J180" s="11" t="str">
        <f>Matiere_premiere[[#This Row],[Entrepot]]</f>
        <v>E3</v>
      </c>
      <c r="K180" s="9" t="b">
        <f>IF(Matiere_premiere[[#This Row],[INVENTAIRE]]&gt;0,TRUE,FALSE)</f>
        <v>0</v>
      </c>
      <c r="L180" s="65"/>
      <c r="M180" s="8" t="s">
        <v>229</v>
      </c>
      <c r="N180" s="8" t="s">
        <v>262</v>
      </c>
      <c r="O180" s="8" t="s">
        <v>261</v>
      </c>
      <c r="P180" s="8" t="s">
        <v>264</v>
      </c>
      <c r="Q180" s="53" t="s">
        <v>69</v>
      </c>
      <c r="R180" s="8" t="s">
        <v>73</v>
      </c>
      <c r="S180" s="7">
        <v>0</v>
      </c>
      <c r="T180" s="7"/>
      <c r="U180" s="7"/>
      <c r="V180" s="7">
        <f>SUM(Matiere_premiere[[#This Row],[INVENTAIRE]],-Matiere_premiere[[#This Row],[Entrée]],-Matiere_premiere[[#This Row],[Sortis]])</f>
        <v>0</v>
      </c>
      <c r="W180" s="50" t="str">
        <f>CONCATENATE(Matiere_premiere[[#This Row],[CODE COLEUR]],"_",Matiere_premiere[[#This Row],[COULEUR]],"_",Matiere_premiere[[#This Row],[CODE FAB]],"_",Matiere_premiere[[#This Row],[Num de Lot]])</f>
        <v>C06_GRIS CLAIR_NM12.02-06.00_S2023</v>
      </c>
    </row>
    <row r="181" spans="1:23" ht="19.7" customHeight="1" thickBot="1" x14ac:dyDescent="0.3">
      <c r="A181" s="69"/>
      <c r="B181" s="72"/>
      <c r="C181" s="72"/>
      <c r="D181" s="75"/>
      <c r="E181" s="77"/>
      <c r="F181" s="79"/>
      <c r="G181" s="75"/>
      <c r="H181" s="77"/>
      <c r="I181" s="81"/>
      <c r="J181" s="10" t="str">
        <f>Matiere_premiere[[#This Row],[Entrepot]]</f>
        <v>Usine</v>
      </c>
      <c r="K181" s="9" t="b">
        <f>IF(Matiere_premiere[[#This Row],[INVENTAIRE]]&gt;0,TRUE,FALSE)</f>
        <v>1</v>
      </c>
      <c r="L181" s="66"/>
      <c r="M181" s="8" t="s">
        <v>229</v>
      </c>
      <c r="N181" s="8" t="s">
        <v>262</v>
      </c>
      <c r="O181" s="8" t="s">
        <v>261</v>
      </c>
      <c r="P181" s="8" t="s">
        <v>264</v>
      </c>
      <c r="Q181" s="53" t="s">
        <v>69</v>
      </c>
      <c r="R181" s="8" t="s">
        <v>68</v>
      </c>
      <c r="S181" s="7">
        <v>7.5</v>
      </c>
      <c r="T181" s="7"/>
      <c r="U181" s="7"/>
      <c r="V181" s="7">
        <f>SUM(Matiere_premiere[[#This Row],[INVENTAIRE]],-Matiere_premiere[[#This Row],[Entrée]],-Matiere_premiere[[#This Row],[Sortis]])</f>
        <v>7.5</v>
      </c>
      <c r="W181" s="50" t="str">
        <f>CONCATENATE(Matiere_premiere[[#This Row],[CODE COLEUR]],"_",Matiere_premiere[[#This Row],[COULEUR]],"_",Matiere_premiere[[#This Row],[CODE FAB]],"_",Matiere_premiere[[#This Row],[Num de Lot]])</f>
        <v>C06_GRIS CLAIR_NM12.02-06.00_S2023</v>
      </c>
    </row>
    <row r="182" spans="1:23" ht="19.7" customHeight="1" thickTop="1" thickBot="1" x14ac:dyDescent="0.3">
      <c r="A182" s="67" t="str">
        <f>Matiere_premiere[[#This Row],[NUMERO METRIQUE]]</f>
        <v>NM14</v>
      </c>
      <c r="B182" s="70" t="str">
        <f>Matiere_premiere[[#This Row],[COULEUR]]</f>
        <v>GRIS CLAIR</v>
      </c>
      <c r="C182" s="70" t="str">
        <f>Matiere_premiere[[#This Row],[CODE COLEUR]]</f>
        <v>C06</v>
      </c>
      <c r="D182" s="73" t="str">
        <f>Matiere_premiere[[#This Row],[CODE FAB]]</f>
        <v>NM14-06.00</v>
      </c>
      <c r="E182" s="76" t="e" vm="63">
        <f>_xlfn.IMAGE("https://api.qrserver.com/v1/create-qr-code/?size=100x100&amp;data=" &amp; D182)</f>
        <v>#VALUE!</v>
      </c>
      <c r="F182" s="78"/>
      <c r="G182" s="73">
        <f>Matiere_premiere[[#This Row],[Num de Lot]]</f>
        <v>60195</v>
      </c>
      <c r="H182" s="76" t="e" vm="64">
        <f>_xlfn.IMAGE("https://api.qrserver.com/v1/create-qr-code/?size=100x100&amp;data=" &amp; G182)</f>
        <v>#VALUE!</v>
      </c>
      <c r="I182" s="80"/>
      <c r="J182" s="12" t="str">
        <f>Matiere_premiere[[#This Row],[Entrepot]]</f>
        <v>E1</v>
      </c>
      <c r="K182" s="9" t="b">
        <f>IF(Matiere_premiere[[#This Row],[INVENTAIRE]]&gt;0,TRUE,FALSE)</f>
        <v>0</v>
      </c>
      <c r="L182" s="65"/>
      <c r="M182" s="13" t="s">
        <v>242</v>
      </c>
      <c r="N182" s="13" t="s">
        <v>262</v>
      </c>
      <c r="O182" s="13" t="s">
        <v>261</v>
      </c>
      <c r="P182" s="13" t="s">
        <v>263</v>
      </c>
      <c r="Q182" s="55">
        <v>60195</v>
      </c>
      <c r="R182" s="13" t="s">
        <v>75</v>
      </c>
      <c r="S182" s="14">
        <v>0</v>
      </c>
      <c r="T182" s="14"/>
      <c r="U182" s="14"/>
      <c r="V182" s="14">
        <f>SUM(Matiere_premiere[[#This Row],[INVENTAIRE]],-Matiere_premiere[[#This Row],[Entrée]],-Matiere_premiere[[#This Row],[Sortis]])</f>
        <v>0</v>
      </c>
      <c r="W182" s="50" t="str">
        <f>CONCATENATE(Matiere_premiere[[#This Row],[CODE COLEUR]],"_",Matiere_premiere[[#This Row],[COULEUR]],"_",Matiere_premiere[[#This Row],[CODE FAB]],"_",Matiere_premiere[[#This Row],[Num de Lot]])</f>
        <v>C06_GRIS CLAIR_NM14-06.00_60195</v>
      </c>
    </row>
    <row r="183" spans="1:23" ht="19.7" customHeight="1" thickBot="1" x14ac:dyDescent="0.3">
      <c r="A183" s="68"/>
      <c r="B183" s="71"/>
      <c r="C183" s="71"/>
      <c r="D183" s="74"/>
      <c r="E183" s="76"/>
      <c r="F183" s="78"/>
      <c r="G183" s="74"/>
      <c r="H183" s="76"/>
      <c r="I183" s="80"/>
      <c r="J183" s="11" t="str">
        <f>Matiere_premiere[[#This Row],[Entrepot]]</f>
        <v>E2</v>
      </c>
      <c r="K183" s="9" t="b">
        <f>IF(Matiere_premiere[[#This Row],[INVENTAIRE]]&gt;0,TRUE,FALSE)</f>
        <v>0</v>
      </c>
      <c r="L183" s="65"/>
      <c r="M183" s="13" t="s">
        <v>242</v>
      </c>
      <c r="N183" s="13" t="s">
        <v>262</v>
      </c>
      <c r="O183" s="13" t="s">
        <v>261</v>
      </c>
      <c r="P183" s="13" t="s">
        <v>263</v>
      </c>
      <c r="Q183" s="55">
        <v>60195</v>
      </c>
      <c r="R183" s="13" t="s">
        <v>74</v>
      </c>
      <c r="S183" s="14">
        <v>0</v>
      </c>
      <c r="T183" s="14"/>
      <c r="U183" s="14"/>
      <c r="V183" s="14">
        <f>SUM(Matiere_premiere[[#This Row],[INVENTAIRE]],-Matiere_premiere[[#This Row],[Entrée]],-Matiere_premiere[[#This Row],[Sortis]])</f>
        <v>0</v>
      </c>
      <c r="W183" s="50" t="str">
        <f>CONCATENATE(Matiere_premiere[[#This Row],[CODE COLEUR]],"_",Matiere_premiere[[#This Row],[COULEUR]],"_",Matiere_premiere[[#This Row],[CODE FAB]],"_",Matiere_premiere[[#This Row],[Num de Lot]])</f>
        <v>C06_GRIS CLAIR_NM14-06.00_60195</v>
      </c>
    </row>
    <row r="184" spans="1:23" ht="19.7" customHeight="1" thickBot="1" x14ac:dyDescent="0.3">
      <c r="A184" s="68"/>
      <c r="B184" s="71"/>
      <c r="C184" s="71"/>
      <c r="D184" s="74"/>
      <c r="E184" s="76"/>
      <c r="F184" s="78"/>
      <c r="G184" s="74"/>
      <c r="H184" s="76"/>
      <c r="I184" s="80"/>
      <c r="J184" s="11" t="str">
        <f>Matiere_premiere[[#This Row],[Entrepot]]</f>
        <v>E3</v>
      </c>
      <c r="K184" s="9" t="b">
        <f>IF(Matiere_premiere[[#This Row],[INVENTAIRE]]&gt;0,TRUE,FALSE)</f>
        <v>1</v>
      </c>
      <c r="L184" s="65"/>
      <c r="M184" s="13" t="s">
        <v>242</v>
      </c>
      <c r="N184" s="13" t="s">
        <v>262</v>
      </c>
      <c r="O184" s="13" t="s">
        <v>261</v>
      </c>
      <c r="P184" s="13" t="s">
        <v>263</v>
      </c>
      <c r="Q184" s="55">
        <v>60195</v>
      </c>
      <c r="R184" s="13" t="s">
        <v>73</v>
      </c>
      <c r="S184" s="14">
        <v>959</v>
      </c>
      <c r="T184" s="14"/>
      <c r="U184" s="14"/>
      <c r="V184" s="14">
        <f>SUM(Matiere_premiere[[#This Row],[INVENTAIRE]],-Matiere_premiere[[#This Row],[Entrée]],-Matiere_premiere[[#This Row],[Sortis]])</f>
        <v>959</v>
      </c>
      <c r="W184" s="50" t="str">
        <f>CONCATENATE(Matiere_premiere[[#This Row],[CODE COLEUR]],"_",Matiere_premiere[[#This Row],[COULEUR]],"_",Matiere_premiere[[#This Row],[CODE FAB]],"_",Matiere_premiere[[#This Row],[Num de Lot]])</f>
        <v>C06_GRIS CLAIR_NM14-06.00_60195</v>
      </c>
    </row>
    <row r="185" spans="1:23" ht="19.7" customHeight="1" thickBot="1" x14ac:dyDescent="0.3">
      <c r="A185" s="69"/>
      <c r="B185" s="72"/>
      <c r="C185" s="72"/>
      <c r="D185" s="75"/>
      <c r="E185" s="77"/>
      <c r="F185" s="79"/>
      <c r="G185" s="75"/>
      <c r="H185" s="77"/>
      <c r="I185" s="81"/>
      <c r="J185" s="10" t="str">
        <f>Matiere_premiere[[#This Row],[Entrepot]]</f>
        <v>Usine</v>
      </c>
      <c r="K185" s="9" t="b">
        <f>IF(Matiere_premiere[[#This Row],[INVENTAIRE]]&gt;0,TRUE,FALSE)</f>
        <v>0</v>
      </c>
      <c r="L185" s="66"/>
      <c r="M185" s="13" t="s">
        <v>242</v>
      </c>
      <c r="N185" s="13" t="s">
        <v>262</v>
      </c>
      <c r="O185" s="13" t="s">
        <v>261</v>
      </c>
      <c r="P185" s="13" t="s">
        <v>263</v>
      </c>
      <c r="Q185" s="55">
        <v>60195</v>
      </c>
      <c r="R185" s="13" t="s">
        <v>68</v>
      </c>
      <c r="S185" s="14">
        <v>0</v>
      </c>
      <c r="T185" s="14"/>
      <c r="U185" s="14"/>
      <c r="V185" s="14">
        <f>SUM(Matiere_premiere[[#This Row],[INVENTAIRE]],-Matiere_premiere[[#This Row],[Entrée]],-Matiere_premiere[[#This Row],[Sortis]])</f>
        <v>0</v>
      </c>
      <c r="W185" s="50" t="str">
        <f>CONCATENATE(Matiere_premiere[[#This Row],[CODE COLEUR]],"_",Matiere_premiere[[#This Row],[COULEUR]],"_",Matiere_premiere[[#This Row],[CODE FAB]],"_",Matiere_premiere[[#This Row],[Num de Lot]])</f>
        <v>C06_GRIS CLAIR_NM14-06.00_60195</v>
      </c>
    </row>
    <row r="186" spans="1:23" ht="19.7" customHeight="1" thickTop="1" thickBot="1" x14ac:dyDescent="0.3">
      <c r="A186" s="67" t="str">
        <f>Matiere_premiere[[#This Row],[NUMERO METRIQUE]]</f>
        <v>NM15</v>
      </c>
      <c r="B186" s="70" t="str">
        <f>Matiere_premiere[[#This Row],[COULEUR]]</f>
        <v>GRIS CLAIR</v>
      </c>
      <c r="C186" s="70" t="str">
        <f>Matiere_premiere[[#This Row],[CODE COLEUR]]</f>
        <v>C06</v>
      </c>
      <c r="D186" s="73" t="str">
        <f>Matiere_premiere[[#This Row],[CODE FAB]]</f>
        <v>NM15-06.00</v>
      </c>
      <c r="E186" s="76" t="e" vm="65">
        <f>_xlfn.IMAGE("https://api.qrserver.com/v1/create-qr-code/?size=100x100&amp;data=" &amp; D186)</f>
        <v>#VALUE!</v>
      </c>
      <c r="F186" s="78"/>
      <c r="G186" s="73">
        <f>Matiere_premiere[[#This Row],[Num de Lot]]</f>
        <v>61428</v>
      </c>
      <c r="H186" s="76" t="e" vm="66">
        <f>_xlfn.IMAGE("https://api.qrserver.com/v1/create-qr-code/?size=100x100&amp;data=" &amp; G186)</f>
        <v>#VALUE!</v>
      </c>
      <c r="I186" s="80"/>
      <c r="J186" s="12" t="str">
        <f>Matiere_premiere[[#This Row],[Entrepot]]</f>
        <v>E1</v>
      </c>
      <c r="K186" s="9" t="b">
        <f>IF(Matiere_premiere[[#This Row],[INVENTAIRE]]&gt;0,TRUE,FALSE)</f>
        <v>1</v>
      </c>
      <c r="L186" s="65"/>
      <c r="M186" s="8" t="s">
        <v>103</v>
      </c>
      <c r="N186" s="8" t="s">
        <v>262</v>
      </c>
      <c r="O186" s="8" t="s">
        <v>261</v>
      </c>
      <c r="P186" s="8" t="s">
        <v>260</v>
      </c>
      <c r="Q186" s="53">
        <v>61428</v>
      </c>
      <c r="R186" s="8" t="s">
        <v>75</v>
      </c>
      <c r="S186" s="7">
        <v>126</v>
      </c>
      <c r="T186" s="7"/>
      <c r="U186" s="7"/>
      <c r="V186" s="7">
        <f>SUM(Matiere_premiere[[#This Row],[INVENTAIRE]],-Matiere_premiere[[#This Row],[Entrée]],-Matiere_premiere[[#This Row],[Sortis]])</f>
        <v>126</v>
      </c>
      <c r="W186" s="50" t="str">
        <f>CONCATENATE(Matiere_premiere[[#This Row],[CODE COLEUR]],"_",Matiere_premiere[[#This Row],[COULEUR]],"_",Matiere_premiere[[#This Row],[CODE FAB]],"_",Matiere_premiere[[#This Row],[Num de Lot]])</f>
        <v>C06_GRIS CLAIR_NM15-06.00_61428</v>
      </c>
    </row>
    <row r="187" spans="1:23" ht="19.7" customHeight="1" thickBot="1" x14ac:dyDescent="0.3">
      <c r="A187" s="68"/>
      <c r="B187" s="71"/>
      <c r="C187" s="71"/>
      <c r="D187" s="74"/>
      <c r="E187" s="76"/>
      <c r="F187" s="78"/>
      <c r="G187" s="74"/>
      <c r="H187" s="76"/>
      <c r="I187" s="80"/>
      <c r="J187" s="11" t="str">
        <f>Matiere_premiere[[#This Row],[Entrepot]]</f>
        <v>E2</v>
      </c>
      <c r="K187" s="9" t="b">
        <f>IF(Matiere_premiere[[#This Row],[INVENTAIRE]]&gt;0,TRUE,FALSE)</f>
        <v>0</v>
      </c>
      <c r="L187" s="65"/>
      <c r="M187" s="8" t="s">
        <v>103</v>
      </c>
      <c r="N187" s="8" t="s">
        <v>262</v>
      </c>
      <c r="O187" s="8" t="s">
        <v>261</v>
      </c>
      <c r="P187" s="8" t="s">
        <v>260</v>
      </c>
      <c r="Q187" s="53">
        <v>61428</v>
      </c>
      <c r="R187" s="8" t="s">
        <v>74</v>
      </c>
      <c r="S187" s="7">
        <v>0</v>
      </c>
      <c r="T187" s="7"/>
      <c r="U187" s="7"/>
      <c r="V187" s="7">
        <f>SUM(Matiere_premiere[[#This Row],[INVENTAIRE]],-Matiere_premiere[[#This Row],[Entrée]],-Matiere_premiere[[#This Row],[Sortis]])</f>
        <v>0</v>
      </c>
      <c r="W187" s="50" t="str">
        <f>CONCATENATE(Matiere_premiere[[#This Row],[CODE COLEUR]],"_",Matiere_premiere[[#This Row],[COULEUR]],"_",Matiere_premiere[[#This Row],[CODE FAB]],"_",Matiere_premiere[[#This Row],[Num de Lot]])</f>
        <v>C06_GRIS CLAIR_NM15-06.00_61428</v>
      </c>
    </row>
    <row r="188" spans="1:23" ht="19.7" customHeight="1" thickBot="1" x14ac:dyDescent="0.3">
      <c r="A188" s="68"/>
      <c r="B188" s="71"/>
      <c r="C188" s="71"/>
      <c r="D188" s="74"/>
      <c r="E188" s="76"/>
      <c r="F188" s="78"/>
      <c r="G188" s="74"/>
      <c r="H188" s="76"/>
      <c r="I188" s="80"/>
      <c r="J188" s="11" t="str">
        <f>Matiere_premiere[[#This Row],[Entrepot]]</f>
        <v>E3</v>
      </c>
      <c r="K188" s="9" t="b">
        <f>IF(Matiere_premiere[[#This Row],[INVENTAIRE]]&gt;0,TRUE,FALSE)</f>
        <v>0</v>
      </c>
      <c r="L188" s="65"/>
      <c r="M188" s="8" t="s">
        <v>103</v>
      </c>
      <c r="N188" s="8" t="s">
        <v>262</v>
      </c>
      <c r="O188" s="8" t="s">
        <v>261</v>
      </c>
      <c r="P188" s="8" t="s">
        <v>260</v>
      </c>
      <c r="Q188" s="53">
        <v>61428</v>
      </c>
      <c r="R188" s="8" t="s">
        <v>73</v>
      </c>
      <c r="S188" s="7">
        <v>0</v>
      </c>
      <c r="T188" s="7"/>
      <c r="U188" s="7"/>
      <c r="V188" s="7">
        <f>SUM(Matiere_premiere[[#This Row],[INVENTAIRE]],-Matiere_premiere[[#This Row],[Entrée]],-Matiere_premiere[[#This Row],[Sortis]])</f>
        <v>0</v>
      </c>
      <c r="W188" s="50" t="str">
        <f>CONCATENATE(Matiere_premiere[[#This Row],[CODE COLEUR]],"_",Matiere_premiere[[#This Row],[COULEUR]],"_",Matiere_premiere[[#This Row],[CODE FAB]],"_",Matiere_premiere[[#This Row],[Num de Lot]])</f>
        <v>C06_GRIS CLAIR_NM15-06.00_61428</v>
      </c>
    </row>
    <row r="189" spans="1:23" ht="19.7" customHeight="1" thickBot="1" x14ac:dyDescent="0.3">
      <c r="A189" s="69"/>
      <c r="B189" s="72"/>
      <c r="C189" s="72"/>
      <c r="D189" s="75"/>
      <c r="E189" s="77"/>
      <c r="F189" s="79"/>
      <c r="G189" s="75"/>
      <c r="H189" s="77"/>
      <c r="I189" s="81"/>
      <c r="J189" s="10" t="str">
        <f>Matiere_premiere[[#This Row],[Entrepot]]</f>
        <v>Usine</v>
      </c>
      <c r="K189" s="9" t="b">
        <f>IF(Matiere_premiere[[#This Row],[INVENTAIRE]]&gt;0,TRUE,FALSE)</f>
        <v>1</v>
      </c>
      <c r="L189" s="66"/>
      <c r="M189" s="8" t="s">
        <v>103</v>
      </c>
      <c r="N189" s="8" t="s">
        <v>262</v>
      </c>
      <c r="O189" s="8" t="s">
        <v>261</v>
      </c>
      <c r="P189" s="8" t="s">
        <v>260</v>
      </c>
      <c r="Q189" s="53">
        <v>61428</v>
      </c>
      <c r="R189" s="8" t="s">
        <v>68</v>
      </c>
      <c r="S189" s="7">
        <v>26.5</v>
      </c>
      <c r="T189" s="7"/>
      <c r="U189" s="7"/>
      <c r="V189" s="7">
        <f>SUM(Matiere_premiere[[#This Row],[INVENTAIRE]],-Matiere_premiere[[#This Row],[Entrée]],-Matiere_premiere[[#This Row],[Sortis]])</f>
        <v>26.5</v>
      </c>
      <c r="W189" s="50" t="str">
        <f>CONCATENATE(Matiere_premiere[[#This Row],[CODE COLEUR]],"_",Matiere_premiere[[#This Row],[COULEUR]],"_",Matiere_premiere[[#This Row],[CODE FAB]],"_",Matiere_premiere[[#This Row],[Num de Lot]])</f>
        <v>C06_GRIS CLAIR_NM15-06.00_61428</v>
      </c>
    </row>
    <row r="190" spans="1:23" ht="19.7" customHeight="1" thickTop="1" thickBot="1" x14ac:dyDescent="0.3">
      <c r="A190" s="67" t="str">
        <f>Matiere_premiere[[#This Row],[NUMERO METRIQUE]]</f>
        <v>NM15</v>
      </c>
      <c r="B190" s="70" t="str">
        <f>Matiere_premiere[[#This Row],[COULEUR]]</f>
        <v>GRIS CLAIR</v>
      </c>
      <c r="C190" s="70" t="str">
        <f>Matiere_premiere[[#This Row],[CODE COLEUR]]</f>
        <v>C06</v>
      </c>
      <c r="D190" s="73" t="str">
        <f>Matiere_premiere[[#This Row],[CODE FAB]]</f>
        <v>NM15-06.00</v>
      </c>
      <c r="E190" s="76" t="e" vm="65">
        <f>_xlfn.IMAGE("https://api.qrserver.com/v1/create-qr-code/?size=100x100&amp;data=" &amp; D190)</f>
        <v>#VALUE!</v>
      </c>
      <c r="F190" s="78"/>
      <c r="G190" s="73">
        <f>Matiere_premiere[[#This Row],[Num de Lot]]</f>
        <v>63432</v>
      </c>
      <c r="H190" s="76" t="e" vm="67">
        <f>_xlfn.IMAGE("https://api.qrserver.com/v1/create-qr-code/?size=100x100&amp;data=" &amp; G190)</f>
        <v>#VALUE!</v>
      </c>
      <c r="I190" s="80"/>
      <c r="J190" s="12" t="str">
        <f>Matiere_premiere[[#This Row],[Entrepot]]</f>
        <v>E1</v>
      </c>
      <c r="K190" s="9" t="b">
        <f>IF(Matiere_premiere[[#This Row],[INVENTAIRE]]&gt;0,TRUE,FALSE)</f>
        <v>0</v>
      </c>
      <c r="L190" s="65"/>
      <c r="M190" s="16" t="s">
        <v>103</v>
      </c>
      <c r="N190" s="16" t="s">
        <v>262</v>
      </c>
      <c r="O190" s="16" t="s">
        <v>261</v>
      </c>
      <c r="P190" s="16" t="s">
        <v>260</v>
      </c>
      <c r="Q190" s="54">
        <v>63432</v>
      </c>
      <c r="R190" s="13" t="s">
        <v>75</v>
      </c>
      <c r="S190" s="14">
        <v>0</v>
      </c>
      <c r="T190" s="14"/>
      <c r="U190" s="14"/>
      <c r="V190" s="14">
        <f>SUM(Matiere_premiere[[#This Row],[INVENTAIRE]],-Matiere_premiere[[#This Row],[Entrée]],-Matiere_premiere[[#This Row],[Sortis]])</f>
        <v>0</v>
      </c>
      <c r="W190" s="50" t="str">
        <f>CONCATENATE(Matiere_premiere[[#This Row],[CODE COLEUR]],"_",Matiere_premiere[[#This Row],[COULEUR]],"_",Matiere_premiere[[#This Row],[CODE FAB]],"_",Matiere_premiere[[#This Row],[Num de Lot]])</f>
        <v>C06_GRIS CLAIR_NM15-06.00_63432</v>
      </c>
    </row>
    <row r="191" spans="1:23" ht="19.7" customHeight="1" thickBot="1" x14ac:dyDescent="0.3">
      <c r="A191" s="68"/>
      <c r="B191" s="71"/>
      <c r="C191" s="71"/>
      <c r="D191" s="74"/>
      <c r="E191" s="76"/>
      <c r="F191" s="78"/>
      <c r="G191" s="74"/>
      <c r="H191" s="76"/>
      <c r="I191" s="80"/>
      <c r="J191" s="11" t="str">
        <f>Matiere_premiere[[#This Row],[Entrepot]]</f>
        <v>E2</v>
      </c>
      <c r="K191" s="9" t="b">
        <f>IF(Matiere_premiere[[#This Row],[INVENTAIRE]]&gt;0,TRUE,FALSE)</f>
        <v>0</v>
      </c>
      <c r="L191" s="65"/>
      <c r="M191" s="16" t="s">
        <v>103</v>
      </c>
      <c r="N191" s="16" t="s">
        <v>262</v>
      </c>
      <c r="O191" s="16" t="s">
        <v>261</v>
      </c>
      <c r="P191" s="16" t="s">
        <v>260</v>
      </c>
      <c r="Q191" s="54">
        <v>63432</v>
      </c>
      <c r="R191" s="13" t="s">
        <v>74</v>
      </c>
      <c r="S191" s="14">
        <v>0</v>
      </c>
      <c r="T191" s="14"/>
      <c r="U191" s="14"/>
      <c r="V191" s="14">
        <f>SUM(Matiere_premiere[[#This Row],[INVENTAIRE]],-Matiere_premiere[[#This Row],[Entrée]],-Matiere_premiere[[#This Row],[Sortis]])</f>
        <v>0</v>
      </c>
      <c r="W191" s="50" t="str">
        <f>CONCATENATE(Matiere_premiere[[#This Row],[CODE COLEUR]],"_",Matiere_premiere[[#This Row],[COULEUR]],"_",Matiere_premiere[[#This Row],[CODE FAB]],"_",Matiere_premiere[[#This Row],[Num de Lot]])</f>
        <v>C06_GRIS CLAIR_NM15-06.00_63432</v>
      </c>
    </row>
    <row r="192" spans="1:23" ht="19.7" customHeight="1" thickBot="1" x14ac:dyDescent="0.3">
      <c r="A192" s="68"/>
      <c r="B192" s="71"/>
      <c r="C192" s="71"/>
      <c r="D192" s="74"/>
      <c r="E192" s="76"/>
      <c r="F192" s="78"/>
      <c r="G192" s="74"/>
      <c r="H192" s="76"/>
      <c r="I192" s="80"/>
      <c r="J192" s="11" t="str">
        <f>Matiere_premiere[[#This Row],[Entrepot]]</f>
        <v>E3</v>
      </c>
      <c r="K192" s="9" t="b">
        <f>IF(Matiere_premiere[[#This Row],[INVENTAIRE]]&gt;0,TRUE,FALSE)</f>
        <v>0</v>
      </c>
      <c r="L192" s="65"/>
      <c r="M192" s="16" t="s">
        <v>103</v>
      </c>
      <c r="N192" s="16" t="s">
        <v>262</v>
      </c>
      <c r="O192" s="16" t="s">
        <v>261</v>
      </c>
      <c r="P192" s="16" t="s">
        <v>260</v>
      </c>
      <c r="Q192" s="54">
        <v>63432</v>
      </c>
      <c r="R192" s="13" t="s">
        <v>73</v>
      </c>
      <c r="S192" s="14">
        <v>0</v>
      </c>
      <c r="T192" s="14"/>
      <c r="U192" s="14"/>
      <c r="V192" s="14">
        <f>SUM(Matiere_premiere[[#This Row],[INVENTAIRE]],-Matiere_premiere[[#This Row],[Entrée]],-Matiere_premiere[[#This Row],[Sortis]])</f>
        <v>0</v>
      </c>
      <c r="W192" s="50" t="str">
        <f>CONCATENATE(Matiere_premiere[[#This Row],[CODE COLEUR]],"_",Matiere_premiere[[#This Row],[COULEUR]],"_",Matiere_premiere[[#This Row],[CODE FAB]],"_",Matiere_premiere[[#This Row],[Num de Lot]])</f>
        <v>C06_GRIS CLAIR_NM15-06.00_63432</v>
      </c>
    </row>
    <row r="193" spans="1:23" ht="19.7" customHeight="1" thickBot="1" x14ac:dyDescent="0.3">
      <c r="A193" s="69"/>
      <c r="B193" s="72"/>
      <c r="C193" s="72"/>
      <c r="D193" s="75"/>
      <c r="E193" s="77"/>
      <c r="F193" s="79"/>
      <c r="G193" s="75"/>
      <c r="H193" s="77"/>
      <c r="I193" s="81"/>
      <c r="J193" s="10" t="str">
        <f>Matiere_premiere[[#This Row],[Entrepot]]</f>
        <v>Usine</v>
      </c>
      <c r="K193" s="9" t="b">
        <f>IF(Matiere_premiere[[#This Row],[INVENTAIRE]]&gt;0,TRUE,FALSE)</f>
        <v>0</v>
      </c>
      <c r="L193" s="66"/>
      <c r="M193" s="13" t="s">
        <v>103</v>
      </c>
      <c r="N193" s="13" t="s">
        <v>262</v>
      </c>
      <c r="O193" s="13" t="s">
        <v>261</v>
      </c>
      <c r="P193" s="13" t="s">
        <v>260</v>
      </c>
      <c r="Q193" s="55">
        <v>63432</v>
      </c>
      <c r="R193" s="13" t="s">
        <v>68</v>
      </c>
      <c r="S193" s="14">
        <v>0</v>
      </c>
      <c r="T193" s="14"/>
      <c r="U193" s="14"/>
      <c r="V193" s="14">
        <f>SUM(Matiere_premiere[[#This Row],[INVENTAIRE]],-Matiere_premiere[[#This Row],[Entrée]],-Matiere_premiere[[#This Row],[Sortis]])</f>
        <v>0</v>
      </c>
      <c r="W193" s="50" t="str">
        <f>CONCATENATE(Matiere_premiere[[#This Row],[CODE COLEUR]],"_",Matiere_premiere[[#This Row],[COULEUR]],"_",Matiere_premiere[[#This Row],[CODE FAB]],"_",Matiere_premiere[[#This Row],[Num de Lot]])</f>
        <v>C06_GRIS CLAIR_NM15-06.00_63432</v>
      </c>
    </row>
    <row r="194" spans="1:23" ht="19.7" customHeight="1" thickTop="1" thickBot="1" x14ac:dyDescent="0.3">
      <c r="A194" s="67" t="str">
        <f>Matiere_premiere[[#This Row],[NUMERO METRIQUE]]</f>
        <v>NM05</v>
      </c>
      <c r="B194" s="70" t="str">
        <f>Matiere_premiere[[#This Row],[COULEUR]]</f>
        <v>GRIS MOYEN</v>
      </c>
      <c r="C194" s="70" t="str">
        <f>Matiere_premiere[[#This Row],[CODE COLEUR]]</f>
        <v>C07</v>
      </c>
      <c r="D194" s="73" t="str">
        <f>Matiere_premiere[[#This Row],[CODE FAB]]</f>
        <v>NM05-07.00</v>
      </c>
      <c r="E194" s="76" t="e" vm="68">
        <f>_xlfn.IMAGE("https://api.qrserver.com/v1/create-qr-code/?size=100x100&amp;data=" &amp; D194)</f>
        <v>#VALUE!</v>
      </c>
      <c r="F194" s="78"/>
      <c r="G194" s="73">
        <f>Matiere_premiere[[#This Row],[Num de Lot]]</f>
        <v>60292</v>
      </c>
      <c r="H194" s="76" t="e" vm="69">
        <f>_xlfn.IMAGE("https://api.qrserver.com/v1/create-qr-code/?size=100x100&amp;data=" &amp; G194)</f>
        <v>#VALUE!</v>
      </c>
      <c r="I194" s="80"/>
      <c r="J194" s="12" t="str">
        <f>Matiere_premiere[[#This Row],[Entrepot]]</f>
        <v>E1</v>
      </c>
      <c r="K194" s="9" t="b">
        <f>IF(Matiere_premiere[[#This Row],[INVENTAIRE]]&gt;0,TRUE,FALSE)</f>
        <v>0</v>
      </c>
      <c r="L194" s="65"/>
      <c r="M194" s="8" t="s">
        <v>119</v>
      </c>
      <c r="N194" s="8" t="s">
        <v>254</v>
      </c>
      <c r="O194" s="8" t="s">
        <v>253</v>
      </c>
      <c r="P194" s="8" t="s">
        <v>258</v>
      </c>
      <c r="Q194" s="53">
        <v>60292</v>
      </c>
      <c r="R194" s="8" t="s">
        <v>75</v>
      </c>
      <c r="S194" s="7">
        <v>0</v>
      </c>
      <c r="T194" s="7"/>
      <c r="U194" s="7"/>
      <c r="V194" s="7">
        <f>SUM(Matiere_premiere[[#This Row],[INVENTAIRE]],-Matiere_premiere[[#This Row],[Entrée]],-Matiere_premiere[[#This Row],[Sortis]])</f>
        <v>0</v>
      </c>
      <c r="W194" s="50" t="str">
        <f>CONCATENATE(Matiere_premiere[[#This Row],[CODE COLEUR]],"_",Matiere_premiere[[#This Row],[COULEUR]],"_",Matiere_premiere[[#This Row],[CODE FAB]],"_",Matiere_premiere[[#This Row],[Num de Lot]])</f>
        <v>C07_GRIS MOYEN_NM05-07.00_60292</v>
      </c>
    </row>
    <row r="195" spans="1:23" ht="19.7" customHeight="1" thickBot="1" x14ac:dyDescent="0.3">
      <c r="A195" s="68"/>
      <c r="B195" s="71"/>
      <c r="C195" s="71"/>
      <c r="D195" s="74"/>
      <c r="E195" s="76"/>
      <c r="F195" s="78"/>
      <c r="G195" s="74"/>
      <c r="H195" s="76"/>
      <c r="I195" s="80"/>
      <c r="J195" s="11" t="str">
        <f>Matiere_premiere[[#This Row],[Entrepot]]</f>
        <v>E2</v>
      </c>
      <c r="K195" s="9" t="b">
        <f>IF(Matiere_premiere[[#This Row],[INVENTAIRE]]&gt;0,TRUE,FALSE)</f>
        <v>1</v>
      </c>
      <c r="L195" s="65"/>
      <c r="M195" s="8" t="s">
        <v>119</v>
      </c>
      <c r="N195" s="8" t="s">
        <v>254</v>
      </c>
      <c r="O195" s="8" t="s">
        <v>253</v>
      </c>
      <c r="P195" s="8" t="s">
        <v>258</v>
      </c>
      <c r="Q195" s="53">
        <v>60292</v>
      </c>
      <c r="R195" s="8" t="s">
        <v>74</v>
      </c>
      <c r="S195" s="7">
        <v>252</v>
      </c>
      <c r="T195" s="7"/>
      <c r="U195" s="7"/>
      <c r="V195" s="7">
        <f>SUM(Matiere_premiere[[#This Row],[INVENTAIRE]],-Matiere_premiere[[#This Row],[Entrée]],-Matiere_premiere[[#This Row],[Sortis]])</f>
        <v>252</v>
      </c>
      <c r="W195" s="50" t="str">
        <f>CONCATENATE(Matiere_premiere[[#This Row],[CODE COLEUR]],"_",Matiere_premiere[[#This Row],[COULEUR]],"_",Matiere_premiere[[#This Row],[CODE FAB]],"_",Matiere_premiere[[#This Row],[Num de Lot]])</f>
        <v>C07_GRIS MOYEN_NM05-07.00_60292</v>
      </c>
    </row>
    <row r="196" spans="1:23" ht="19.7" customHeight="1" thickBot="1" x14ac:dyDescent="0.3">
      <c r="A196" s="68"/>
      <c r="B196" s="71"/>
      <c r="C196" s="71"/>
      <c r="D196" s="74"/>
      <c r="E196" s="76"/>
      <c r="F196" s="78"/>
      <c r="G196" s="74"/>
      <c r="H196" s="76"/>
      <c r="I196" s="80"/>
      <c r="J196" s="11" t="str">
        <f>Matiere_premiere[[#This Row],[Entrepot]]</f>
        <v>E3</v>
      </c>
      <c r="K196" s="9" t="b">
        <f>IF(Matiere_premiere[[#This Row],[INVENTAIRE]]&gt;0,TRUE,FALSE)</f>
        <v>0</v>
      </c>
      <c r="L196" s="65"/>
      <c r="M196" s="8" t="s">
        <v>119</v>
      </c>
      <c r="N196" s="8" t="s">
        <v>254</v>
      </c>
      <c r="O196" s="8" t="s">
        <v>253</v>
      </c>
      <c r="P196" s="8" t="s">
        <v>258</v>
      </c>
      <c r="Q196" s="53">
        <v>60292</v>
      </c>
      <c r="R196" s="8" t="s">
        <v>73</v>
      </c>
      <c r="S196" s="7">
        <v>0</v>
      </c>
      <c r="T196" s="7"/>
      <c r="U196" s="7"/>
      <c r="V196" s="7">
        <f>SUM(Matiere_premiere[[#This Row],[INVENTAIRE]],-Matiere_premiere[[#This Row],[Entrée]],-Matiere_premiere[[#This Row],[Sortis]])</f>
        <v>0</v>
      </c>
      <c r="W196" s="50" t="str">
        <f>CONCATENATE(Matiere_premiere[[#This Row],[CODE COLEUR]],"_",Matiere_premiere[[#This Row],[COULEUR]],"_",Matiere_premiere[[#This Row],[CODE FAB]],"_",Matiere_premiere[[#This Row],[Num de Lot]])</f>
        <v>C07_GRIS MOYEN_NM05-07.00_60292</v>
      </c>
    </row>
    <row r="197" spans="1:23" ht="19.7" customHeight="1" thickBot="1" x14ac:dyDescent="0.3">
      <c r="A197" s="69"/>
      <c r="B197" s="72"/>
      <c r="C197" s="72"/>
      <c r="D197" s="75"/>
      <c r="E197" s="77"/>
      <c r="F197" s="79"/>
      <c r="G197" s="75"/>
      <c r="H197" s="77"/>
      <c r="I197" s="81"/>
      <c r="J197" s="10" t="str">
        <f>Matiere_premiere[[#This Row],[Entrepot]]</f>
        <v>Usine</v>
      </c>
      <c r="K197" s="9" t="b">
        <f>IF(Matiere_premiere[[#This Row],[INVENTAIRE]]&gt;0,TRUE,FALSE)</f>
        <v>0</v>
      </c>
      <c r="L197" s="66"/>
      <c r="M197" s="8" t="s">
        <v>119</v>
      </c>
      <c r="N197" s="8" t="s">
        <v>254</v>
      </c>
      <c r="O197" s="8" t="s">
        <v>253</v>
      </c>
      <c r="P197" s="8" t="s">
        <v>258</v>
      </c>
      <c r="Q197" s="53">
        <v>60292</v>
      </c>
      <c r="R197" s="8" t="s">
        <v>68</v>
      </c>
      <c r="S197" s="7">
        <v>0</v>
      </c>
      <c r="T197" s="7"/>
      <c r="U197" s="7"/>
      <c r="V197" s="7">
        <f>SUM(Matiere_premiere[[#This Row],[INVENTAIRE]],-Matiere_premiere[[#This Row],[Entrée]],-Matiere_premiere[[#This Row],[Sortis]])</f>
        <v>0</v>
      </c>
      <c r="W197" s="50" t="str">
        <f>CONCATENATE(Matiere_premiere[[#This Row],[CODE COLEUR]],"_",Matiere_premiere[[#This Row],[COULEUR]],"_",Matiere_premiere[[#This Row],[CODE FAB]],"_",Matiere_premiere[[#This Row],[Num de Lot]])</f>
        <v>C07_GRIS MOYEN_NM05-07.00_60292</v>
      </c>
    </row>
    <row r="198" spans="1:23" ht="19.7" customHeight="1" thickTop="1" thickBot="1" x14ac:dyDescent="0.3">
      <c r="A198" s="67" t="str">
        <f>Matiere_premiere[[#This Row],[NUMERO METRIQUE]]</f>
        <v>NM05</v>
      </c>
      <c r="B198" s="70" t="str">
        <f>Matiere_premiere[[#This Row],[COULEUR]]</f>
        <v>GRIS METELIQUE</v>
      </c>
      <c r="C198" s="70" t="str">
        <f>Matiere_premiere[[#This Row],[CODE COLEUR]]</f>
        <v>C07</v>
      </c>
      <c r="D198" s="73" t="str">
        <f>Matiere_premiere[[#This Row],[CODE FAB]]</f>
        <v>NM05-07.00</v>
      </c>
      <c r="E198" s="76" t="e" vm="68">
        <f>_xlfn.IMAGE("https://api.qrserver.com/v1/create-qr-code/?size=100x100&amp;data=" &amp; D198)</f>
        <v>#VALUE!</v>
      </c>
      <c r="F198" s="78"/>
      <c r="G198" s="73">
        <f>Matiere_premiere[[#This Row],[Num de Lot]]</f>
        <v>60448</v>
      </c>
      <c r="H198" s="76" t="e" vm="70">
        <f>_xlfn.IMAGE("https://api.qrserver.com/v1/create-qr-code/?size=100x100&amp;data=" &amp; G198)</f>
        <v>#VALUE!</v>
      </c>
      <c r="I198" s="80"/>
      <c r="J198" s="12" t="str">
        <f>Matiere_premiere[[#This Row],[Entrepot]]</f>
        <v>E1</v>
      </c>
      <c r="K198" s="9" t="b">
        <f>IF(Matiere_premiere[[#This Row],[INVENTAIRE]]&gt;0,TRUE,FALSE)</f>
        <v>0</v>
      </c>
      <c r="L198" s="65"/>
      <c r="M198" s="13" t="s">
        <v>119</v>
      </c>
      <c r="N198" s="13" t="s">
        <v>259</v>
      </c>
      <c r="O198" s="13" t="s">
        <v>253</v>
      </c>
      <c r="P198" s="13" t="s">
        <v>258</v>
      </c>
      <c r="Q198" s="55">
        <v>60448</v>
      </c>
      <c r="R198" s="13" t="s">
        <v>75</v>
      </c>
      <c r="S198" s="14">
        <v>0</v>
      </c>
      <c r="T198" s="14"/>
      <c r="U198" s="14"/>
      <c r="V198" s="14">
        <f>SUM(Matiere_premiere[[#This Row],[INVENTAIRE]],-Matiere_premiere[[#This Row],[Entrée]],-Matiere_premiere[[#This Row],[Sortis]])</f>
        <v>0</v>
      </c>
      <c r="W198" s="50" t="str">
        <f>CONCATENATE(Matiere_premiere[[#This Row],[CODE COLEUR]],"_",Matiere_premiere[[#This Row],[COULEUR]],"_",Matiere_premiere[[#This Row],[CODE FAB]],"_",Matiere_premiere[[#This Row],[Num de Lot]])</f>
        <v>C07_GRIS METELIQUE_NM05-07.00_60448</v>
      </c>
    </row>
    <row r="199" spans="1:23" ht="19.7" customHeight="1" thickBot="1" x14ac:dyDescent="0.3">
      <c r="A199" s="68"/>
      <c r="B199" s="71"/>
      <c r="C199" s="71"/>
      <c r="D199" s="74"/>
      <c r="E199" s="76"/>
      <c r="F199" s="78"/>
      <c r="G199" s="74"/>
      <c r="H199" s="76"/>
      <c r="I199" s="80"/>
      <c r="J199" s="11" t="str">
        <f>Matiere_premiere[[#This Row],[Entrepot]]</f>
        <v>E2</v>
      </c>
      <c r="K199" s="9" t="b">
        <f>IF(Matiere_premiere[[#This Row],[INVENTAIRE]]&gt;0,TRUE,FALSE)</f>
        <v>1</v>
      </c>
      <c r="L199" s="65"/>
      <c r="M199" s="13" t="s">
        <v>119</v>
      </c>
      <c r="N199" s="13" t="s">
        <v>259</v>
      </c>
      <c r="O199" s="13" t="s">
        <v>253</v>
      </c>
      <c r="P199" s="13" t="s">
        <v>258</v>
      </c>
      <c r="Q199" s="55">
        <v>60448</v>
      </c>
      <c r="R199" s="13" t="s">
        <v>74</v>
      </c>
      <c r="S199" s="14">
        <v>73.5</v>
      </c>
      <c r="T199" s="14"/>
      <c r="U199" s="14"/>
      <c r="V199" s="14">
        <f>SUM(Matiere_premiere[[#This Row],[INVENTAIRE]],-Matiere_premiere[[#This Row],[Entrée]],-Matiere_premiere[[#This Row],[Sortis]])</f>
        <v>73.5</v>
      </c>
      <c r="W199" s="50" t="str">
        <f>CONCATENATE(Matiere_premiere[[#This Row],[CODE COLEUR]],"_",Matiere_premiere[[#This Row],[COULEUR]],"_",Matiere_premiere[[#This Row],[CODE FAB]],"_",Matiere_premiere[[#This Row],[Num de Lot]])</f>
        <v>C07_GRIS METELIQUE_NM05-07.00_60448</v>
      </c>
    </row>
    <row r="200" spans="1:23" ht="19.7" customHeight="1" thickBot="1" x14ac:dyDescent="0.3">
      <c r="A200" s="68"/>
      <c r="B200" s="71"/>
      <c r="C200" s="71"/>
      <c r="D200" s="74"/>
      <c r="E200" s="76"/>
      <c r="F200" s="78"/>
      <c r="G200" s="74"/>
      <c r="H200" s="76"/>
      <c r="I200" s="80"/>
      <c r="J200" s="11" t="str">
        <f>Matiere_premiere[[#This Row],[Entrepot]]</f>
        <v>E3</v>
      </c>
      <c r="K200" s="9" t="b">
        <f>IF(Matiere_premiere[[#This Row],[INVENTAIRE]]&gt;0,TRUE,FALSE)</f>
        <v>0</v>
      </c>
      <c r="L200" s="65"/>
      <c r="M200" s="13" t="s">
        <v>119</v>
      </c>
      <c r="N200" s="13" t="s">
        <v>259</v>
      </c>
      <c r="O200" s="13" t="s">
        <v>253</v>
      </c>
      <c r="P200" s="13" t="s">
        <v>258</v>
      </c>
      <c r="Q200" s="55">
        <v>60448</v>
      </c>
      <c r="R200" s="13" t="s">
        <v>73</v>
      </c>
      <c r="S200" s="14">
        <v>0</v>
      </c>
      <c r="T200" s="14"/>
      <c r="U200" s="14"/>
      <c r="V200" s="14">
        <f>SUM(Matiere_premiere[[#This Row],[INVENTAIRE]],-Matiere_premiere[[#This Row],[Entrée]],-Matiere_premiere[[#This Row],[Sortis]])</f>
        <v>0</v>
      </c>
      <c r="W200" s="50" t="str">
        <f>CONCATENATE(Matiere_premiere[[#This Row],[CODE COLEUR]],"_",Matiere_premiere[[#This Row],[COULEUR]],"_",Matiere_premiere[[#This Row],[CODE FAB]],"_",Matiere_premiere[[#This Row],[Num de Lot]])</f>
        <v>C07_GRIS METELIQUE_NM05-07.00_60448</v>
      </c>
    </row>
    <row r="201" spans="1:23" ht="19.7" customHeight="1" thickBot="1" x14ac:dyDescent="0.3">
      <c r="A201" s="69"/>
      <c r="B201" s="72"/>
      <c r="C201" s="72"/>
      <c r="D201" s="75"/>
      <c r="E201" s="77"/>
      <c r="F201" s="79"/>
      <c r="G201" s="75"/>
      <c r="H201" s="77"/>
      <c r="I201" s="81"/>
      <c r="J201" s="10" t="str">
        <f>Matiere_premiere[[#This Row],[Entrepot]]</f>
        <v>Usine</v>
      </c>
      <c r="K201" s="9" t="b">
        <f>IF(Matiere_premiere[[#This Row],[INVENTAIRE]]&gt;0,TRUE,FALSE)</f>
        <v>0</v>
      </c>
      <c r="L201" s="66"/>
      <c r="M201" s="13" t="s">
        <v>119</v>
      </c>
      <c r="N201" s="13" t="s">
        <v>259</v>
      </c>
      <c r="O201" s="13" t="s">
        <v>253</v>
      </c>
      <c r="P201" s="13" t="s">
        <v>258</v>
      </c>
      <c r="Q201" s="55">
        <v>60448</v>
      </c>
      <c r="R201" s="13" t="s">
        <v>68</v>
      </c>
      <c r="S201" s="14">
        <v>0</v>
      </c>
      <c r="T201" s="14"/>
      <c r="U201" s="14"/>
      <c r="V201" s="14">
        <f>SUM(Matiere_premiere[[#This Row],[INVENTAIRE]],-Matiere_premiere[[#This Row],[Entrée]],-Matiere_premiere[[#This Row],[Sortis]])</f>
        <v>0</v>
      </c>
      <c r="W201" s="50" t="str">
        <f>CONCATENATE(Matiere_premiere[[#This Row],[CODE COLEUR]],"_",Matiere_premiere[[#This Row],[COULEUR]],"_",Matiere_premiere[[#This Row],[CODE FAB]],"_",Matiere_premiere[[#This Row],[Num de Lot]])</f>
        <v>C07_GRIS METELIQUE_NM05-07.00_60448</v>
      </c>
    </row>
    <row r="202" spans="1:23" ht="19.7" customHeight="1" thickTop="1" thickBot="1" x14ac:dyDescent="0.3">
      <c r="A202" s="67" t="str">
        <f>Matiere_premiere[[#This Row],[NUMERO METRIQUE]]</f>
        <v>NM12</v>
      </c>
      <c r="B202" s="70" t="str">
        <f>Matiere_premiere[[#This Row],[COULEUR]]</f>
        <v>GRIS MOYEN</v>
      </c>
      <c r="C202" s="70" t="str">
        <f>Matiere_premiere[[#This Row],[CODE COLEUR]]</f>
        <v>C07</v>
      </c>
      <c r="D202" s="73" t="str">
        <f>Matiere_premiere[[#This Row],[CODE FAB]]</f>
        <v>NM12-07.00</v>
      </c>
      <c r="E202" s="76" t="e" vm="71">
        <f>_xlfn.IMAGE("https://api.qrserver.com/v1/create-qr-code/?size=100x100&amp;data=" &amp; D202)</f>
        <v>#VALUE!</v>
      </c>
      <c r="F202" s="78"/>
      <c r="G202" s="73">
        <f>Matiere_premiere[[#This Row],[Num de Lot]]</f>
        <v>51595</v>
      </c>
      <c r="H202" s="76" t="e" vm="72">
        <f>_xlfn.IMAGE("https://api.qrserver.com/v1/create-qr-code/?size=100x100&amp;data=" &amp; G202)</f>
        <v>#VALUE!</v>
      </c>
      <c r="I202" s="80"/>
      <c r="J202" s="12" t="str">
        <f>Matiere_premiere[[#This Row],[Entrepot]]</f>
        <v>E1</v>
      </c>
      <c r="K202" s="9" t="b">
        <f>IF(Matiere_premiere[[#This Row],[INVENTAIRE]]&gt;0,TRUE,FALSE)</f>
        <v>0</v>
      </c>
      <c r="L202" s="65"/>
      <c r="M202" s="8" t="s">
        <v>257</v>
      </c>
      <c r="N202" s="8" t="s">
        <v>254</v>
      </c>
      <c r="O202" s="8" t="s">
        <v>253</v>
      </c>
      <c r="P202" s="8" t="s">
        <v>256</v>
      </c>
      <c r="Q202" s="53">
        <v>51595</v>
      </c>
      <c r="R202" s="8" t="s">
        <v>75</v>
      </c>
      <c r="S202" s="7">
        <v>0</v>
      </c>
      <c r="T202" s="7"/>
      <c r="U202" s="7"/>
      <c r="V202" s="7">
        <f>SUM(Matiere_premiere[[#This Row],[INVENTAIRE]],-Matiere_premiere[[#This Row],[Entrée]],-Matiere_premiere[[#This Row],[Sortis]])</f>
        <v>0</v>
      </c>
      <c r="W202" s="50" t="str">
        <f>CONCATENATE(Matiere_premiere[[#This Row],[CODE COLEUR]],"_",Matiere_premiere[[#This Row],[COULEUR]],"_",Matiere_premiere[[#This Row],[CODE FAB]],"_",Matiere_premiere[[#This Row],[Num de Lot]])</f>
        <v>C07_GRIS MOYEN_NM12-07.00_51595</v>
      </c>
    </row>
    <row r="203" spans="1:23" ht="19.7" customHeight="1" thickBot="1" x14ac:dyDescent="0.3">
      <c r="A203" s="68"/>
      <c r="B203" s="71"/>
      <c r="C203" s="71"/>
      <c r="D203" s="74"/>
      <c r="E203" s="76"/>
      <c r="F203" s="78"/>
      <c r="G203" s="74"/>
      <c r="H203" s="76"/>
      <c r="I203" s="80"/>
      <c r="J203" s="11" t="str">
        <f>Matiere_premiere[[#This Row],[Entrepot]]</f>
        <v>E2</v>
      </c>
      <c r="K203" s="9" t="b">
        <f>IF(Matiere_premiere[[#This Row],[INVENTAIRE]]&gt;0,TRUE,FALSE)</f>
        <v>0</v>
      </c>
      <c r="L203" s="65"/>
      <c r="M203" s="8" t="s">
        <v>257</v>
      </c>
      <c r="N203" s="8" t="s">
        <v>254</v>
      </c>
      <c r="O203" s="8" t="s">
        <v>253</v>
      </c>
      <c r="P203" s="8" t="s">
        <v>256</v>
      </c>
      <c r="Q203" s="53">
        <v>51595</v>
      </c>
      <c r="R203" s="8" t="s">
        <v>74</v>
      </c>
      <c r="S203" s="7">
        <v>0</v>
      </c>
      <c r="T203" s="7"/>
      <c r="U203" s="7"/>
      <c r="V203" s="7">
        <f>SUM(Matiere_premiere[[#This Row],[INVENTAIRE]],-Matiere_premiere[[#This Row],[Entrée]],-Matiere_premiere[[#This Row],[Sortis]])</f>
        <v>0</v>
      </c>
      <c r="W203" s="50" t="str">
        <f>CONCATENATE(Matiere_premiere[[#This Row],[CODE COLEUR]],"_",Matiere_premiere[[#This Row],[COULEUR]],"_",Matiere_premiere[[#This Row],[CODE FAB]],"_",Matiere_premiere[[#This Row],[Num de Lot]])</f>
        <v>C07_GRIS MOYEN_NM12-07.00_51595</v>
      </c>
    </row>
    <row r="204" spans="1:23" ht="19.7" customHeight="1" thickBot="1" x14ac:dyDescent="0.3">
      <c r="A204" s="68"/>
      <c r="B204" s="71"/>
      <c r="C204" s="71"/>
      <c r="D204" s="74"/>
      <c r="E204" s="76"/>
      <c r="F204" s="78"/>
      <c r="G204" s="74"/>
      <c r="H204" s="76"/>
      <c r="I204" s="80"/>
      <c r="J204" s="11" t="str">
        <f>Matiere_premiere[[#This Row],[Entrepot]]</f>
        <v>E3</v>
      </c>
      <c r="K204" s="9" t="b">
        <f>IF(Matiere_premiere[[#This Row],[INVENTAIRE]]&gt;0,TRUE,FALSE)</f>
        <v>1</v>
      </c>
      <c r="L204" s="65"/>
      <c r="M204" s="8" t="s">
        <v>257</v>
      </c>
      <c r="N204" s="8" t="s">
        <v>254</v>
      </c>
      <c r="O204" s="8" t="s">
        <v>253</v>
      </c>
      <c r="P204" s="8" t="s">
        <v>256</v>
      </c>
      <c r="Q204" s="53">
        <v>51595</v>
      </c>
      <c r="R204" s="8" t="s">
        <v>73</v>
      </c>
      <c r="S204" s="7">
        <v>105</v>
      </c>
      <c r="T204" s="7"/>
      <c r="U204" s="7"/>
      <c r="V204" s="7">
        <f>SUM(Matiere_premiere[[#This Row],[INVENTAIRE]],-Matiere_premiere[[#This Row],[Entrée]],-Matiere_premiere[[#This Row],[Sortis]])</f>
        <v>105</v>
      </c>
      <c r="W204" s="50" t="str">
        <f>CONCATENATE(Matiere_premiere[[#This Row],[CODE COLEUR]],"_",Matiere_premiere[[#This Row],[COULEUR]],"_",Matiere_premiere[[#This Row],[CODE FAB]],"_",Matiere_premiere[[#This Row],[Num de Lot]])</f>
        <v>C07_GRIS MOYEN_NM12-07.00_51595</v>
      </c>
    </row>
    <row r="205" spans="1:23" ht="19.7" customHeight="1" thickBot="1" x14ac:dyDescent="0.3">
      <c r="A205" s="69"/>
      <c r="B205" s="72"/>
      <c r="C205" s="72"/>
      <c r="D205" s="75"/>
      <c r="E205" s="77"/>
      <c r="F205" s="79"/>
      <c r="G205" s="75"/>
      <c r="H205" s="77"/>
      <c r="I205" s="81"/>
      <c r="J205" s="10" t="str">
        <f>Matiere_premiere[[#This Row],[Entrepot]]</f>
        <v>Usine</v>
      </c>
      <c r="K205" s="9" t="b">
        <f>IF(Matiere_premiere[[#This Row],[INVENTAIRE]]&gt;0,TRUE,FALSE)</f>
        <v>0</v>
      </c>
      <c r="L205" s="66"/>
      <c r="M205" s="8" t="s">
        <v>257</v>
      </c>
      <c r="N205" s="8" t="s">
        <v>254</v>
      </c>
      <c r="O205" s="8" t="s">
        <v>253</v>
      </c>
      <c r="P205" s="8" t="s">
        <v>256</v>
      </c>
      <c r="Q205" s="53">
        <v>51595</v>
      </c>
      <c r="R205" s="8" t="s">
        <v>68</v>
      </c>
      <c r="S205" s="7">
        <v>0</v>
      </c>
      <c r="T205" s="7"/>
      <c r="U205" s="7"/>
      <c r="V205" s="7">
        <f>SUM(Matiere_premiere[[#This Row],[INVENTAIRE]],-Matiere_premiere[[#This Row],[Entrée]],-Matiere_premiere[[#This Row],[Sortis]])</f>
        <v>0</v>
      </c>
      <c r="W205" s="50" t="str">
        <f>CONCATENATE(Matiere_premiere[[#This Row],[CODE COLEUR]],"_",Matiere_premiere[[#This Row],[COULEUR]],"_",Matiere_premiere[[#This Row],[CODE FAB]],"_",Matiere_premiere[[#This Row],[Num de Lot]])</f>
        <v>C07_GRIS MOYEN_NM12-07.00_51595</v>
      </c>
    </row>
    <row r="206" spans="1:23" ht="19.7" customHeight="1" thickTop="1" thickBot="1" x14ac:dyDescent="0.3">
      <c r="A206" s="67" t="str">
        <f>Matiere_premiere[[#This Row],[NUMERO METRIQUE]]</f>
        <v>NM15</v>
      </c>
      <c r="B206" s="70" t="str">
        <f>Matiere_premiere[[#This Row],[COULEUR]]</f>
        <v>GRIS MOYEN</v>
      </c>
      <c r="C206" s="70" t="str">
        <f>Matiere_premiere[[#This Row],[CODE COLEUR]]</f>
        <v>C07</v>
      </c>
      <c r="D206" s="73" t="str">
        <f>Matiere_premiere[[#This Row],[CODE FAB]]</f>
        <v>NM15-07.00</v>
      </c>
      <c r="E206" s="76" t="e" vm="73">
        <f>_xlfn.IMAGE("https://api.qrserver.com/v1/create-qr-code/?size=100x100&amp;data=" &amp; D206)</f>
        <v>#VALUE!</v>
      </c>
      <c r="F206" s="78"/>
      <c r="G206" s="73">
        <f>Matiere_premiere[[#This Row],[Num de Lot]]</f>
        <v>61445</v>
      </c>
      <c r="H206" s="76" t="e" vm="74">
        <f>_xlfn.IMAGE("https://api.qrserver.com/v1/create-qr-code/?size=100x100&amp;data=" &amp; G206)</f>
        <v>#VALUE!</v>
      </c>
      <c r="I206" s="80"/>
      <c r="J206" s="12" t="str">
        <f>Matiere_premiere[[#This Row],[Entrepot]]</f>
        <v>E1</v>
      </c>
      <c r="K206" s="9" t="b">
        <f>IF(Matiere_premiere[[#This Row],[INVENTAIRE]]&gt;0,TRUE,FALSE)</f>
        <v>1</v>
      </c>
      <c r="L206" s="65"/>
      <c r="M206" s="13" t="s">
        <v>103</v>
      </c>
      <c r="N206" s="13" t="s">
        <v>254</v>
      </c>
      <c r="O206" s="13" t="s">
        <v>253</v>
      </c>
      <c r="P206" s="13" t="s">
        <v>255</v>
      </c>
      <c r="Q206" s="55">
        <v>61445</v>
      </c>
      <c r="R206" s="13" t="s">
        <v>75</v>
      </c>
      <c r="S206" s="14">
        <v>1319.5</v>
      </c>
      <c r="T206" s="14"/>
      <c r="U206" s="14"/>
      <c r="V206" s="14">
        <f>SUM(Matiere_premiere[[#This Row],[INVENTAIRE]],-Matiere_premiere[[#This Row],[Entrée]],-Matiere_premiere[[#This Row],[Sortis]])</f>
        <v>1319.5</v>
      </c>
      <c r="W206" s="50" t="str">
        <f>CONCATENATE(Matiere_premiere[[#This Row],[CODE COLEUR]],"_",Matiere_premiere[[#This Row],[COULEUR]],"_",Matiere_premiere[[#This Row],[CODE FAB]],"_",Matiere_premiere[[#This Row],[Num de Lot]])</f>
        <v>C07_GRIS MOYEN_NM15-07.00_61445</v>
      </c>
    </row>
    <row r="207" spans="1:23" ht="19.7" customHeight="1" thickBot="1" x14ac:dyDescent="0.3">
      <c r="A207" s="68"/>
      <c r="B207" s="71"/>
      <c r="C207" s="71"/>
      <c r="D207" s="74"/>
      <c r="E207" s="76"/>
      <c r="F207" s="78"/>
      <c r="G207" s="74"/>
      <c r="H207" s="76"/>
      <c r="I207" s="80"/>
      <c r="J207" s="11" t="str">
        <f>Matiere_premiere[[#This Row],[Entrepot]]</f>
        <v>E2</v>
      </c>
      <c r="K207" s="9" t="b">
        <f>IF(Matiere_premiere[[#This Row],[INVENTAIRE]]&gt;0,TRUE,FALSE)</f>
        <v>0</v>
      </c>
      <c r="L207" s="65"/>
      <c r="M207" s="13" t="s">
        <v>103</v>
      </c>
      <c r="N207" s="13" t="s">
        <v>254</v>
      </c>
      <c r="O207" s="13" t="s">
        <v>253</v>
      </c>
      <c r="P207" s="13" t="s">
        <v>255</v>
      </c>
      <c r="Q207" s="55">
        <v>61445</v>
      </c>
      <c r="R207" s="13" t="s">
        <v>74</v>
      </c>
      <c r="S207" s="14">
        <v>0</v>
      </c>
      <c r="T207" s="14"/>
      <c r="U207" s="14"/>
      <c r="V207" s="14">
        <f>SUM(Matiere_premiere[[#This Row],[INVENTAIRE]],-Matiere_premiere[[#This Row],[Entrée]],-Matiere_premiere[[#This Row],[Sortis]])</f>
        <v>0</v>
      </c>
      <c r="W207" s="50" t="str">
        <f>CONCATENATE(Matiere_premiere[[#This Row],[CODE COLEUR]],"_",Matiere_premiere[[#This Row],[COULEUR]],"_",Matiere_premiere[[#This Row],[CODE FAB]],"_",Matiere_premiere[[#This Row],[Num de Lot]])</f>
        <v>C07_GRIS MOYEN_NM15-07.00_61445</v>
      </c>
    </row>
    <row r="208" spans="1:23" ht="19.7" customHeight="1" thickBot="1" x14ac:dyDescent="0.3">
      <c r="A208" s="68"/>
      <c r="B208" s="71"/>
      <c r="C208" s="71"/>
      <c r="D208" s="74"/>
      <c r="E208" s="76"/>
      <c r="F208" s="78"/>
      <c r="G208" s="74"/>
      <c r="H208" s="76"/>
      <c r="I208" s="80"/>
      <c r="J208" s="11" t="str">
        <f>Matiere_premiere[[#This Row],[Entrepot]]</f>
        <v>E3</v>
      </c>
      <c r="K208" s="9" t="b">
        <f>IF(Matiere_premiere[[#This Row],[INVENTAIRE]]&gt;0,TRUE,FALSE)</f>
        <v>0</v>
      </c>
      <c r="L208" s="65"/>
      <c r="M208" s="13" t="s">
        <v>103</v>
      </c>
      <c r="N208" s="13" t="s">
        <v>254</v>
      </c>
      <c r="O208" s="13" t="s">
        <v>253</v>
      </c>
      <c r="P208" s="13" t="s">
        <v>255</v>
      </c>
      <c r="Q208" s="55">
        <v>61445</v>
      </c>
      <c r="R208" s="13" t="s">
        <v>73</v>
      </c>
      <c r="S208" s="14">
        <v>0</v>
      </c>
      <c r="T208" s="14"/>
      <c r="U208" s="14"/>
      <c r="V208" s="14">
        <f>SUM(Matiere_premiere[[#This Row],[INVENTAIRE]],-Matiere_premiere[[#This Row],[Entrée]],-Matiere_premiere[[#This Row],[Sortis]])</f>
        <v>0</v>
      </c>
      <c r="W208" s="50" t="str">
        <f>CONCATENATE(Matiere_premiere[[#This Row],[CODE COLEUR]],"_",Matiere_premiere[[#This Row],[COULEUR]],"_",Matiere_premiere[[#This Row],[CODE FAB]],"_",Matiere_premiere[[#This Row],[Num de Lot]])</f>
        <v>C07_GRIS MOYEN_NM15-07.00_61445</v>
      </c>
    </row>
    <row r="209" spans="1:23" ht="19.7" customHeight="1" thickBot="1" x14ac:dyDescent="0.3">
      <c r="A209" s="69"/>
      <c r="B209" s="72"/>
      <c r="C209" s="72"/>
      <c r="D209" s="75"/>
      <c r="E209" s="77"/>
      <c r="F209" s="79"/>
      <c r="G209" s="75"/>
      <c r="H209" s="77"/>
      <c r="I209" s="81"/>
      <c r="J209" s="10" t="str">
        <f>Matiere_premiere[[#This Row],[Entrepot]]</f>
        <v>Usine</v>
      </c>
      <c r="K209" s="9" t="b">
        <f>IF(Matiere_premiere[[#This Row],[INVENTAIRE]]&gt;0,TRUE,FALSE)</f>
        <v>1</v>
      </c>
      <c r="L209" s="66"/>
      <c r="M209" s="13" t="s">
        <v>103</v>
      </c>
      <c r="N209" s="13" t="s">
        <v>254</v>
      </c>
      <c r="O209" s="13" t="s">
        <v>253</v>
      </c>
      <c r="P209" s="13" t="s">
        <v>255</v>
      </c>
      <c r="Q209" s="55">
        <v>61445</v>
      </c>
      <c r="R209" s="13" t="s">
        <v>68</v>
      </c>
      <c r="S209" s="14">
        <v>170.2</v>
      </c>
      <c r="T209" s="14"/>
      <c r="U209" s="14"/>
      <c r="V209" s="14">
        <f>SUM(Matiere_premiere[[#This Row],[INVENTAIRE]],-Matiere_premiere[[#This Row],[Entrée]],-Matiere_premiere[[#This Row],[Sortis]])</f>
        <v>170.2</v>
      </c>
      <c r="W209" s="50" t="str">
        <f>CONCATENATE(Matiere_premiere[[#This Row],[CODE COLEUR]],"_",Matiere_premiere[[#This Row],[COULEUR]],"_",Matiere_premiere[[#This Row],[CODE FAB]],"_",Matiere_premiere[[#This Row],[Num de Lot]])</f>
        <v>C07_GRIS MOYEN_NM15-07.00_61445</v>
      </c>
    </row>
    <row r="210" spans="1:23" ht="19.7" customHeight="1" thickTop="1" thickBot="1" x14ac:dyDescent="0.3">
      <c r="A210" s="67" t="str">
        <f>Matiere_premiere[[#This Row],[NUMERO METRIQUE]]</f>
        <v>NM15</v>
      </c>
      <c r="B210" s="70" t="str">
        <f>Matiere_premiere[[#This Row],[COULEUR]]</f>
        <v>GRIS MOYEN</v>
      </c>
      <c r="C210" s="70" t="str">
        <f>Matiere_premiere[[#This Row],[CODE COLEUR]]</f>
        <v>C07</v>
      </c>
      <c r="D210" s="73" t="str">
        <f>Matiere_premiere[[#This Row],[CODE FAB]]</f>
        <v>NM15-07.00</v>
      </c>
      <c r="E210" s="76" t="e" vm="73">
        <f>_xlfn.IMAGE("https://api.qrserver.com/v1/create-qr-code/?size=100x100&amp;data=" &amp; D210)</f>
        <v>#VALUE!</v>
      </c>
      <c r="F210" s="78"/>
      <c r="G210" s="73">
        <f>Matiere_premiere[[#This Row],[Num de Lot]]</f>
        <v>65416</v>
      </c>
      <c r="H210" s="76" t="e" vm="75">
        <f>_xlfn.IMAGE("https://api.qrserver.com/v1/create-qr-code/?size=100x100&amp;data=" &amp; G210)</f>
        <v>#VALUE!</v>
      </c>
      <c r="I210" s="80"/>
      <c r="J210" s="12" t="str">
        <f>Matiere_premiere[[#This Row],[Entrepot]]</f>
        <v>E1</v>
      </c>
      <c r="K210" s="9" t="b">
        <f>IF(Matiere_premiere[[#This Row],[INVENTAIRE]]&gt;0,TRUE,FALSE)</f>
        <v>0</v>
      </c>
      <c r="L210" s="65"/>
      <c r="M210" s="15" t="s">
        <v>103</v>
      </c>
      <c r="N210" s="15" t="s">
        <v>254</v>
      </c>
      <c r="O210" s="15" t="s">
        <v>253</v>
      </c>
      <c r="P210" s="15" t="s">
        <v>255</v>
      </c>
      <c r="Q210" s="56">
        <v>65416</v>
      </c>
      <c r="R210" s="8" t="s">
        <v>75</v>
      </c>
      <c r="S210" s="7">
        <v>0</v>
      </c>
      <c r="T210" s="7"/>
      <c r="U210" s="7"/>
      <c r="V210" s="7">
        <f>SUM(Matiere_premiere[[#This Row],[INVENTAIRE]],-Matiere_premiere[[#This Row],[Entrée]],-Matiere_premiere[[#This Row],[Sortis]])</f>
        <v>0</v>
      </c>
      <c r="W210" s="50" t="str">
        <f>CONCATENATE(Matiere_premiere[[#This Row],[CODE COLEUR]],"_",Matiere_premiere[[#This Row],[COULEUR]],"_",Matiere_premiere[[#This Row],[CODE FAB]],"_",Matiere_premiere[[#This Row],[Num de Lot]])</f>
        <v>C07_GRIS MOYEN_NM15-07.00_65416</v>
      </c>
    </row>
    <row r="211" spans="1:23" ht="19.7" customHeight="1" thickBot="1" x14ac:dyDescent="0.3">
      <c r="A211" s="68"/>
      <c r="B211" s="71"/>
      <c r="C211" s="71"/>
      <c r="D211" s="74"/>
      <c r="E211" s="76"/>
      <c r="F211" s="78"/>
      <c r="G211" s="74"/>
      <c r="H211" s="76"/>
      <c r="I211" s="80"/>
      <c r="J211" s="11" t="str">
        <f>Matiere_premiere[[#This Row],[Entrepot]]</f>
        <v>E2</v>
      </c>
      <c r="K211" s="9" t="b">
        <f>IF(Matiere_premiere[[#This Row],[INVENTAIRE]]&gt;0,TRUE,FALSE)</f>
        <v>0</v>
      </c>
      <c r="L211" s="65"/>
      <c r="M211" s="15" t="s">
        <v>103</v>
      </c>
      <c r="N211" s="15" t="s">
        <v>254</v>
      </c>
      <c r="O211" s="15" t="s">
        <v>253</v>
      </c>
      <c r="P211" s="15" t="s">
        <v>255</v>
      </c>
      <c r="Q211" s="56">
        <v>65416</v>
      </c>
      <c r="R211" s="8" t="s">
        <v>74</v>
      </c>
      <c r="S211" s="7">
        <v>0</v>
      </c>
      <c r="T211" s="7"/>
      <c r="U211" s="7"/>
      <c r="V211" s="7">
        <f>SUM(Matiere_premiere[[#This Row],[INVENTAIRE]],-Matiere_premiere[[#This Row],[Entrée]],-Matiere_premiere[[#This Row],[Sortis]])</f>
        <v>0</v>
      </c>
      <c r="W211" s="50" t="str">
        <f>CONCATENATE(Matiere_premiere[[#This Row],[CODE COLEUR]],"_",Matiere_premiere[[#This Row],[COULEUR]],"_",Matiere_premiere[[#This Row],[CODE FAB]],"_",Matiere_premiere[[#This Row],[Num de Lot]])</f>
        <v>C07_GRIS MOYEN_NM15-07.00_65416</v>
      </c>
    </row>
    <row r="212" spans="1:23" ht="19.7" customHeight="1" thickBot="1" x14ac:dyDescent="0.3">
      <c r="A212" s="68"/>
      <c r="B212" s="71"/>
      <c r="C212" s="71"/>
      <c r="D212" s="74"/>
      <c r="E212" s="76"/>
      <c r="F212" s="78"/>
      <c r="G212" s="74"/>
      <c r="H212" s="76"/>
      <c r="I212" s="80"/>
      <c r="J212" s="11" t="str">
        <f>Matiere_premiere[[#This Row],[Entrepot]]</f>
        <v>E3</v>
      </c>
      <c r="K212" s="9" t="b">
        <f>IF(Matiere_premiere[[#This Row],[INVENTAIRE]]&gt;0,TRUE,FALSE)</f>
        <v>0</v>
      </c>
      <c r="L212" s="65"/>
      <c r="M212" s="15" t="s">
        <v>103</v>
      </c>
      <c r="N212" s="15" t="s">
        <v>254</v>
      </c>
      <c r="O212" s="15" t="s">
        <v>253</v>
      </c>
      <c r="P212" s="15" t="s">
        <v>255</v>
      </c>
      <c r="Q212" s="56">
        <v>65416</v>
      </c>
      <c r="R212" s="8" t="s">
        <v>73</v>
      </c>
      <c r="S212" s="7">
        <v>0</v>
      </c>
      <c r="T212" s="7"/>
      <c r="U212" s="7"/>
      <c r="V212" s="7">
        <f>SUM(Matiere_premiere[[#This Row],[INVENTAIRE]],-Matiere_premiere[[#This Row],[Entrée]],-Matiere_premiere[[#This Row],[Sortis]])</f>
        <v>0</v>
      </c>
      <c r="W212" s="50" t="str">
        <f>CONCATENATE(Matiere_premiere[[#This Row],[CODE COLEUR]],"_",Matiere_premiere[[#This Row],[COULEUR]],"_",Matiere_premiere[[#This Row],[CODE FAB]],"_",Matiere_premiere[[#This Row],[Num de Lot]])</f>
        <v>C07_GRIS MOYEN_NM15-07.00_65416</v>
      </c>
    </row>
    <row r="213" spans="1:23" ht="19.7" customHeight="1" thickBot="1" x14ac:dyDescent="0.3">
      <c r="A213" s="69"/>
      <c r="B213" s="72"/>
      <c r="C213" s="72"/>
      <c r="D213" s="75"/>
      <c r="E213" s="77"/>
      <c r="F213" s="79"/>
      <c r="G213" s="75"/>
      <c r="H213" s="77"/>
      <c r="I213" s="81"/>
      <c r="J213" s="10" t="str">
        <f>Matiere_premiere[[#This Row],[Entrepot]]</f>
        <v>Usine</v>
      </c>
      <c r="K213" s="9" t="b">
        <f>IF(Matiere_premiere[[#This Row],[INVENTAIRE]]&gt;0,TRUE,FALSE)</f>
        <v>0</v>
      </c>
      <c r="L213" s="66"/>
      <c r="M213" s="8" t="s">
        <v>103</v>
      </c>
      <c r="N213" s="8" t="s">
        <v>254</v>
      </c>
      <c r="O213" s="8" t="s">
        <v>253</v>
      </c>
      <c r="P213" s="8" t="s">
        <v>255</v>
      </c>
      <c r="Q213" s="53">
        <v>65416</v>
      </c>
      <c r="R213" s="8" t="s">
        <v>68</v>
      </c>
      <c r="S213" s="7">
        <v>0</v>
      </c>
      <c r="T213" s="7"/>
      <c r="U213" s="7"/>
      <c r="V213" s="7">
        <f>SUM(Matiere_premiere[[#This Row],[INVENTAIRE]],-Matiere_premiere[[#This Row],[Entrée]],-Matiere_premiere[[#This Row],[Sortis]])</f>
        <v>0</v>
      </c>
      <c r="W213" s="50" t="str">
        <f>CONCATENATE(Matiere_premiere[[#This Row],[CODE COLEUR]],"_",Matiere_premiere[[#This Row],[COULEUR]],"_",Matiere_premiere[[#This Row],[CODE FAB]],"_",Matiere_premiere[[#This Row],[Num de Lot]])</f>
        <v>C07_GRIS MOYEN_NM15-07.00_65416</v>
      </c>
    </row>
    <row r="214" spans="1:23" ht="19.7" customHeight="1" thickTop="1" thickBot="1" x14ac:dyDescent="0.3">
      <c r="A214" s="67" t="str">
        <f>Matiere_premiere[[#This Row],[NUMERO METRIQUE]]</f>
        <v>NM15</v>
      </c>
      <c r="B214" s="70" t="str">
        <f>Matiere_premiere[[#This Row],[COULEUR]]</f>
        <v>GRIS MOYEN</v>
      </c>
      <c r="C214" s="70" t="str">
        <f>Matiere_premiere[[#This Row],[CODE COLEUR]]</f>
        <v>C07</v>
      </c>
      <c r="D214" s="73" t="str">
        <f>Matiere_premiere[[#This Row],[CODE FAB]]</f>
        <v>NM15-07.01</v>
      </c>
      <c r="E214" s="76" t="e" vm="76">
        <f>_xlfn.IMAGE("https://api.qrserver.com/v1/create-qr-code/?size=100x100&amp;data=" &amp; D214)</f>
        <v>#VALUE!</v>
      </c>
      <c r="F214" s="78"/>
      <c r="G214" s="73" t="str">
        <f>Matiere_premiere[[#This Row],[Num de Lot]]</f>
        <v>S2023</v>
      </c>
      <c r="H214" s="76" t="e" vm="2">
        <f>_xlfn.IMAGE("https://api.qrserver.com/v1/create-qr-code/?size=100x100&amp;data=" &amp; G214)</f>
        <v>#VALUE!</v>
      </c>
      <c r="I214" s="80"/>
      <c r="J214" s="12" t="str">
        <f>Matiere_premiere[[#This Row],[Entrepot]]</f>
        <v>E1</v>
      </c>
      <c r="K214" s="9" t="b">
        <f>IF(Matiere_premiere[[#This Row],[INVENTAIRE]]&gt;0,TRUE,FALSE)</f>
        <v>1</v>
      </c>
      <c r="L214" s="65"/>
      <c r="M214" s="13" t="s">
        <v>103</v>
      </c>
      <c r="N214" s="13" t="s">
        <v>254</v>
      </c>
      <c r="O214" s="13" t="s">
        <v>253</v>
      </c>
      <c r="P214" s="13" t="s">
        <v>252</v>
      </c>
      <c r="Q214" s="55" t="s">
        <v>69</v>
      </c>
      <c r="R214" s="13" t="s">
        <v>75</v>
      </c>
      <c r="S214" s="14">
        <v>1386</v>
      </c>
      <c r="T214" s="14"/>
      <c r="U214" s="14"/>
      <c r="V214" s="14">
        <f>SUM(Matiere_premiere[[#This Row],[INVENTAIRE]],-Matiere_premiere[[#This Row],[Entrée]],-Matiere_premiere[[#This Row],[Sortis]])</f>
        <v>1386</v>
      </c>
      <c r="W214" s="50" t="str">
        <f>CONCATENATE(Matiere_premiere[[#This Row],[CODE COLEUR]],"_",Matiere_premiere[[#This Row],[COULEUR]],"_",Matiere_premiere[[#This Row],[CODE FAB]],"_",Matiere_premiere[[#This Row],[Num de Lot]])</f>
        <v>C07_GRIS MOYEN_NM15-07.01_S2023</v>
      </c>
    </row>
    <row r="215" spans="1:23" ht="19.7" customHeight="1" thickBot="1" x14ac:dyDescent="0.3">
      <c r="A215" s="68"/>
      <c r="B215" s="71"/>
      <c r="C215" s="71"/>
      <c r="D215" s="74"/>
      <c r="E215" s="76"/>
      <c r="F215" s="78"/>
      <c r="G215" s="74"/>
      <c r="H215" s="76"/>
      <c r="I215" s="80"/>
      <c r="J215" s="11" t="str">
        <f>Matiere_premiere[[#This Row],[Entrepot]]</f>
        <v>E2</v>
      </c>
      <c r="K215" s="9" t="b">
        <f>IF(Matiere_premiere[[#This Row],[INVENTAIRE]]&gt;0,TRUE,FALSE)</f>
        <v>0</v>
      </c>
      <c r="L215" s="65"/>
      <c r="M215" s="13" t="s">
        <v>103</v>
      </c>
      <c r="N215" s="13" t="s">
        <v>254</v>
      </c>
      <c r="O215" s="13" t="s">
        <v>253</v>
      </c>
      <c r="P215" s="13" t="s">
        <v>252</v>
      </c>
      <c r="Q215" s="55" t="s">
        <v>69</v>
      </c>
      <c r="R215" s="13" t="s">
        <v>74</v>
      </c>
      <c r="S215" s="14">
        <v>0</v>
      </c>
      <c r="T215" s="14"/>
      <c r="U215" s="14"/>
      <c r="V215" s="14">
        <f>SUM(Matiere_premiere[[#This Row],[INVENTAIRE]],-Matiere_premiere[[#This Row],[Entrée]],-Matiere_premiere[[#This Row],[Sortis]])</f>
        <v>0</v>
      </c>
      <c r="W215" s="50" t="str">
        <f>CONCATENATE(Matiere_premiere[[#This Row],[CODE COLEUR]],"_",Matiere_premiere[[#This Row],[COULEUR]],"_",Matiere_premiere[[#This Row],[CODE FAB]],"_",Matiere_premiere[[#This Row],[Num de Lot]])</f>
        <v>C07_GRIS MOYEN_NM15-07.01_S2023</v>
      </c>
    </row>
    <row r="216" spans="1:23" ht="19.7" customHeight="1" thickBot="1" x14ac:dyDescent="0.3">
      <c r="A216" s="68"/>
      <c r="B216" s="71"/>
      <c r="C216" s="71"/>
      <c r="D216" s="74"/>
      <c r="E216" s="76"/>
      <c r="F216" s="78"/>
      <c r="G216" s="74"/>
      <c r="H216" s="76"/>
      <c r="I216" s="80"/>
      <c r="J216" s="11" t="str">
        <f>Matiere_premiere[[#This Row],[Entrepot]]</f>
        <v>E3</v>
      </c>
      <c r="K216" s="9" t="b">
        <f>IF(Matiere_premiere[[#This Row],[INVENTAIRE]]&gt;0,TRUE,FALSE)</f>
        <v>0</v>
      </c>
      <c r="L216" s="65"/>
      <c r="M216" s="13" t="s">
        <v>103</v>
      </c>
      <c r="N216" s="13" t="s">
        <v>254</v>
      </c>
      <c r="O216" s="13" t="s">
        <v>253</v>
      </c>
      <c r="P216" s="13" t="s">
        <v>252</v>
      </c>
      <c r="Q216" s="55" t="s">
        <v>69</v>
      </c>
      <c r="R216" s="13" t="s">
        <v>73</v>
      </c>
      <c r="S216" s="14">
        <v>0</v>
      </c>
      <c r="T216" s="14"/>
      <c r="U216" s="14"/>
      <c r="V216" s="14">
        <f>SUM(Matiere_premiere[[#This Row],[INVENTAIRE]],-Matiere_premiere[[#This Row],[Entrée]],-Matiere_premiere[[#This Row],[Sortis]])</f>
        <v>0</v>
      </c>
      <c r="W216" s="50" t="str">
        <f>CONCATENATE(Matiere_premiere[[#This Row],[CODE COLEUR]],"_",Matiere_premiere[[#This Row],[COULEUR]],"_",Matiere_premiere[[#This Row],[CODE FAB]],"_",Matiere_premiere[[#This Row],[Num de Lot]])</f>
        <v>C07_GRIS MOYEN_NM15-07.01_S2023</v>
      </c>
    </row>
    <row r="217" spans="1:23" ht="19.7" customHeight="1" thickBot="1" x14ac:dyDescent="0.3">
      <c r="A217" s="69"/>
      <c r="B217" s="72"/>
      <c r="C217" s="72"/>
      <c r="D217" s="75"/>
      <c r="E217" s="77"/>
      <c r="F217" s="79"/>
      <c r="G217" s="75"/>
      <c r="H217" s="77"/>
      <c r="I217" s="81"/>
      <c r="J217" s="10" t="str">
        <f>Matiere_premiere[[#This Row],[Entrepot]]</f>
        <v>Usine</v>
      </c>
      <c r="K217" s="9" t="b">
        <f>IF(Matiere_premiere[[#This Row],[INVENTAIRE]]&gt;0,TRUE,FALSE)</f>
        <v>1</v>
      </c>
      <c r="L217" s="66"/>
      <c r="M217" s="13" t="s">
        <v>103</v>
      </c>
      <c r="N217" s="13" t="s">
        <v>254</v>
      </c>
      <c r="O217" s="13" t="s">
        <v>253</v>
      </c>
      <c r="P217" s="13" t="s">
        <v>252</v>
      </c>
      <c r="Q217" s="55" t="s">
        <v>69</v>
      </c>
      <c r="R217" s="13" t="s">
        <v>68</v>
      </c>
      <c r="S217" s="14">
        <v>108.5</v>
      </c>
      <c r="T217" s="14"/>
      <c r="U217" s="14"/>
      <c r="V217" s="14">
        <f>SUM(Matiere_premiere[[#This Row],[INVENTAIRE]],-Matiere_premiere[[#This Row],[Entrée]],-Matiere_premiere[[#This Row],[Sortis]])</f>
        <v>108.5</v>
      </c>
      <c r="W217" s="50" t="str">
        <f>CONCATENATE(Matiere_premiere[[#This Row],[CODE COLEUR]],"_",Matiere_premiere[[#This Row],[COULEUR]],"_",Matiere_premiere[[#This Row],[CODE FAB]],"_",Matiere_premiere[[#This Row],[Num de Lot]])</f>
        <v>C07_GRIS MOYEN_NM15-07.01_S2023</v>
      </c>
    </row>
    <row r="218" spans="1:23" ht="19.7" customHeight="1" thickTop="1" thickBot="1" x14ac:dyDescent="0.3">
      <c r="A218" s="67" t="str">
        <f>Matiere_premiere[[#This Row],[NUMERO METRIQUE]]</f>
        <v>NM10</v>
      </c>
      <c r="B218" s="70" t="str">
        <f>Matiere_premiere[[#This Row],[COULEUR]]</f>
        <v>GRIS ANTHRACITE</v>
      </c>
      <c r="C218" s="70" t="str">
        <f>Matiere_premiere[[#This Row],[CODE COLEUR]]</f>
        <v>C08</v>
      </c>
      <c r="D218" s="73" t="str">
        <f>Matiere_premiere[[#This Row],[CODE FAB]]</f>
        <v>NM10-08.00</v>
      </c>
      <c r="E218" s="76" t="e" vm="77">
        <f>_xlfn.IMAGE("https://api.qrserver.com/v1/create-qr-code/?size=100x100&amp;data=" &amp; D218)</f>
        <v>#VALUE!</v>
      </c>
      <c r="F218" s="78"/>
      <c r="G218" s="73">
        <f>Matiere_premiere[[#This Row],[Num de Lot]]</f>
        <v>61463</v>
      </c>
      <c r="H218" s="76" t="e" vm="78">
        <f>_xlfn.IMAGE("https://api.qrserver.com/v1/create-qr-code/?size=100x100&amp;data=" &amp; G218)</f>
        <v>#VALUE!</v>
      </c>
      <c r="I218" s="80"/>
      <c r="J218" s="12" t="str">
        <f>Matiere_premiere[[#This Row],[Entrepot]]</f>
        <v>E1</v>
      </c>
      <c r="K218" s="9" t="b">
        <f>IF(Matiere_premiere[[#This Row],[INVENTAIRE]]&gt;0,TRUE,FALSE)</f>
        <v>0</v>
      </c>
      <c r="L218" s="65"/>
      <c r="M218" s="8" t="s">
        <v>116</v>
      </c>
      <c r="N218" s="8" t="s">
        <v>249</v>
      </c>
      <c r="O218" s="8" t="s">
        <v>248</v>
      </c>
      <c r="P218" s="8" t="s">
        <v>251</v>
      </c>
      <c r="Q218" s="53">
        <v>61463</v>
      </c>
      <c r="R218" s="8" t="s">
        <v>75</v>
      </c>
      <c r="S218" s="7">
        <v>0</v>
      </c>
      <c r="T218" s="7"/>
      <c r="U218" s="7"/>
      <c r="V218" s="7">
        <f>SUM(Matiere_premiere[[#This Row],[INVENTAIRE]],-Matiere_premiere[[#This Row],[Entrée]],-Matiere_premiere[[#This Row],[Sortis]])</f>
        <v>0</v>
      </c>
      <c r="W218" s="50" t="str">
        <f>CONCATENATE(Matiere_premiere[[#This Row],[CODE COLEUR]],"_",Matiere_premiere[[#This Row],[COULEUR]],"_",Matiere_premiere[[#This Row],[CODE FAB]],"_",Matiere_premiere[[#This Row],[Num de Lot]])</f>
        <v>C08_GRIS ANTHRACITE_NM10-08.00_61463</v>
      </c>
    </row>
    <row r="219" spans="1:23" ht="19.7" customHeight="1" thickBot="1" x14ac:dyDescent="0.3">
      <c r="A219" s="68"/>
      <c r="B219" s="71"/>
      <c r="C219" s="71"/>
      <c r="D219" s="74"/>
      <c r="E219" s="76"/>
      <c r="F219" s="78"/>
      <c r="G219" s="74"/>
      <c r="H219" s="76"/>
      <c r="I219" s="80"/>
      <c r="J219" s="11" t="str">
        <f>Matiere_premiere[[#This Row],[Entrepot]]</f>
        <v>E2</v>
      </c>
      <c r="K219" s="9" t="b">
        <f>IF(Matiere_premiere[[#This Row],[INVENTAIRE]]&gt;0,TRUE,FALSE)</f>
        <v>0</v>
      </c>
      <c r="L219" s="65"/>
      <c r="M219" s="8" t="s">
        <v>116</v>
      </c>
      <c r="N219" s="8" t="s">
        <v>249</v>
      </c>
      <c r="O219" s="8" t="s">
        <v>248</v>
      </c>
      <c r="P219" s="8" t="s">
        <v>251</v>
      </c>
      <c r="Q219" s="53">
        <v>61463</v>
      </c>
      <c r="R219" s="8" t="s">
        <v>74</v>
      </c>
      <c r="S219" s="7">
        <v>0</v>
      </c>
      <c r="T219" s="7"/>
      <c r="U219" s="7"/>
      <c r="V219" s="7">
        <f>SUM(Matiere_premiere[[#This Row],[INVENTAIRE]],-Matiere_premiere[[#This Row],[Entrée]],-Matiere_premiere[[#This Row],[Sortis]])</f>
        <v>0</v>
      </c>
      <c r="W219" s="50" t="str">
        <f>CONCATENATE(Matiere_premiere[[#This Row],[CODE COLEUR]],"_",Matiere_premiere[[#This Row],[COULEUR]],"_",Matiere_premiere[[#This Row],[CODE FAB]],"_",Matiere_premiere[[#This Row],[Num de Lot]])</f>
        <v>C08_GRIS ANTHRACITE_NM10-08.00_61463</v>
      </c>
    </row>
    <row r="220" spans="1:23" ht="19.7" customHeight="1" thickBot="1" x14ac:dyDescent="0.3">
      <c r="A220" s="68"/>
      <c r="B220" s="71"/>
      <c r="C220" s="71"/>
      <c r="D220" s="74"/>
      <c r="E220" s="76"/>
      <c r="F220" s="78"/>
      <c r="G220" s="74"/>
      <c r="H220" s="76"/>
      <c r="I220" s="80"/>
      <c r="J220" s="11" t="str">
        <f>Matiere_premiere[[#This Row],[Entrepot]]</f>
        <v>E3</v>
      </c>
      <c r="K220" s="9" t="b">
        <f>IF(Matiere_premiere[[#This Row],[INVENTAIRE]]&gt;0,TRUE,FALSE)</f>
        <v>1</v>
      </c>
      <c r="L220" s="65"/>
      <c r="M220" s="8" t="s">
        <v>116</v>
      </c>
      <c r="N220" s="8" t="s">
        <v>249</v>
      </c>
      <c r="O220" s="8" t="s">
        <v>248</v>
      </c>
      <c r="P220" s="8" t="s">
        <v>251</v>
      </c>
      <c r="Q220" s="53">
        <v>61463</v>
      </c>
      <c r="R220" s="8" t="s">
        <v>73</v>
      </c>
      <c r="S220" s="7">
        <v>497</v>
      </c>
      <c r="T220" s="7"/>
      <c r="U220" s="7"/>
      <c r="V220" s="7">
        <f>SUM(Matiere_premiere[[#This Row],[INVENTAIRE]],-Matiere_premiere[[#This Row],[Entrée]],-Matiere_premiere[[#This Row],[Sortis]])</f>
        <v>497</v>
      </c>
      <c r="W220" s="50" t="str">
        <f>CONCATENATE(Matiere_premiere[[#This Row],[CODE COLEUR]],"_",Matiere_premiere[[#This Row],[COULEUR]],"_",Matiere_premiere[[#This Row],[CODE FAB]],"_",Matiere_premiere[[#This Row],[Num de Lot]])</f>
        <v>C08_GRIS ANTHRACITE_NM10-08.00_61463</v>
      </c>
    </row>
    <row r="221" spans="1:23" ht="19.7" customHeight="1" thickBot="1" x14ac:dyDescent="0.3">
      <c r="A221" s="69"/>
      <c r="B221" s="72"/>
      <c r="C221" s="72"/>
      <c r="D221" s="75"/>
      <c r="E221" s="77"/>
      <c r="F221" s="79"/>
      <c r="G221" s="75"/>
      <c r="H221" s="77"/>
      <c r="I221" s="81"/>
      <c r="J221" s="10" t="str">
        <f>Matiere_premiere[[#This Row],[Entrepot]]</f>
        <v>Usine</v>
      </c>
      <c r="K221" s="9" t="b">
        <f>IF(Matiere_premiere[[#This Row],[INVENTAIRE]]&gt;0,TRUE,FALSE)</f>
        <v>0</v>
      </c>
      <c r="L221" s="66"/>
      <c r="M221" s="8" t="s">
        <v>116</v>
      </c>
      <c r="N221" s="8" t="s">
        <v>249</v>
      </c>
      <c r="O221" s="8" t="s">
        <v>248</v>
      </c>
      <c r="P221" s="8" t="s">
        <v>251</v>
      </c>
      <c r="Q221" s="53">
        <v>61463</v>
      </c>
      <c r="R221" s="8" t="s">
        <v>68</v>
      </c>
      <c r="S221" s="7">
        <v>0</v>
      </c>
      <c r="T221" s="7"/>
      <c r="U221" s="7"/>
      <c r="V221" s="7">
        <f>SUM(Matiere_premiere[[#This Row],[INVENTAIRE]],-Matiere_premiere[[#This Row],[Entrée]],-Matiere_premiere[[#This Row],[Sortis]])</f>
        <v>0</v>
      </c>
      <c r="W221" s="50" t="str">
        <f>CONCATENATE(Matiere_premiere[[#This Row],[CODE COLEUR]],"_",Matiere_premiere[[#This Row],[COULEUR]],"_",Matiere_premiere[[#This Row],[CODE FAB]],"_",Matiere_premiere[[#This Row],[Num de Lot]])</f>
        <v>C08_GRIS ANTHRACITE_NM10-08.00_61463</v>
      </c>
    </row>
    <row r="222" spans="1:23" ht="19.7" customHeight="1" thickTop="1" thickBot="1" x14ac:dyDescent="0.3">
      <c r="A222" s="67" t="str">
        <f>Matiere_premiere[[#This Row],[NUMERO METRIQUE]]</f>
        <v>NM15</v>
      </c>
      <c r="B222" s="70" t="str">
        <f>Matiere_premiere[[#This Row],[COULEUR]]</f>
        <v>GRIS ANTHRACITE</v>
      </c>
      <c r="C222" s="70" t="str">
        <f>Matiere_premiere[[#This Row],[CODE COLEUR]]</f>
        <v>C08</v>
      </c>
      <c r="D222" s="73" t="str">
        <f>Matiere_premiere[[#This Row],[CODE FAB]]</f>
        <v>NM15-08.00</v>
      </c>
      <c r="E222" s="76" t="e" vm="79">
        <f>_xlfn.IMAGE("https://api.qrserver.com/v1/create-qr-code/?size=100x100&amp;data=" &amp; D222)</f>
        <v>#VALUE!</v>
      </c>
      <c r="F222" s="78"/>
      <c r="G222" s="73">
        <f>Matiere_premiere[[#This Row],[Num de Lot]]</f>
        <v>59358</v>
      </c>
      <c r="H222" s="76" t="e" vm="80">
        <f>_xlfn.IMAGE("https://api.qrserver.com/v1/create-qr-code/?size=100x100&amp;data=" &amp; G222)</f>
        <v>#VALUE!</v>
      </c>
      <c r="I222" s="80"/>
      <c r="J222" s="12" t="str">
        <f>Matiere_premiere[[#This Row],[Entrepot]]</f>
        <v>E1</v>
      </c>
      <c r="K222" s="9" t="b">
        <f>IF(Matiere_premiere[[#This Row],[INVENTAIRE]]&gt;0,TRUE,FALSE)</f>
        <v>1</v>
      </c>
      <c r="L222" s="65"/>
      <c r="M222" s="13" t="s">
        <v>103</v>
      </c>
      <c r="N222" s="13" t="s">
        <v>249</v>
      </c>
      <c r="O222" s="13" t="s">
        <v>248</v>
      </c>
      <c r="P222" s="13" t="s">
        <v>250</v>
      </c>
      <c r="Q222" s="55">
        <v>59358</v>
      </c>
      <c r="R222" s="13" t="s">
        <v>75</v>
      </c>
      <c r="S222" s="14">
        <v>1876</v>
      </c>
      <c r="T222" s="14"/>
      <c r="U222" s="14"/>
      <c r="V222" s="14">
        <f>SUM(Matiere_premiere[[#This Row],[INVENTAIRE]],-Matiere_premiere[[#This Row],[Entrée]],-Matiere_premiere[[#This Row],[Sortis]])</f>
        <v>1876</v>
      </c>
      <c r="W222" s="50" t="str">
        <f>CONCATENATE(Matiere_premiere[[#This Row],[CODE COLEUR]],"_",Matiere_premiere[[#This Row],[COULEUR]],"_",Matiere_premiere[[#This Row],[CODE FAB]],"_",Matiere_premiere[[#This Row],[Num de Lot]])</f>
        <v>C08_GRIS ANTHRACITE_NM15-08.00_59358</v>
      </c>
    </row>
    <row r="223" spans="1:23" ht="19.7" customHeight="1" thickBot="1" x14ac:dyDescent="0.3">
      <c r="A223" s="68"/>
      <c r="B223" s="71"/>
      <c r="C223" s="71"/>
      <c r="D223" s="74"/>
      <c r="E223" s="76"/>
      <c r="F223" s="78"/>
      <c r="G223" s="74"/>
      <c r="H223" s="76"/>
      <c r="I223" s="80"/>
      <c r="J223" s="11" t="str">
        <f>Matiere_premiere[[#This Row],[Entrepot]]</f>
        <v>E2</v>
      </c>
      <c r="K223" s="9" t="b">
        <f>IF(Matiere_premiere[[#This Row],[INVENTAIRE]]&gt;0,TRUE,FALSE)</f>
        <v>0</v>
      </c>
      <c r="L223" s="65"/>
      <c r="M223" s="13" t="s">
        <v>103</v>
      </c>
      <c r="N223" s="13" t="s">
        <v>249</v>
      </c>
      <c r="O223" s="13" t="s">
        <v>248</v>
      </c>
      <c r="P223" s="13" t="s">
        <v>250</v>
      </c>
      <c r="Q223" s="55">
        <v>59358</v>
      </c>
      <c r="R223" s="13" t="s">
        <v>74</v>
      </c>
      <c r="S223" s="14">
        <v>0</v>
      </c>
      <c r="T223" s="14"/>
      <c r="U223" s="14"/>
      <c r="V223" s="14">
        <f>SUM(Matiere_premiere[[#This Row],[INVENTAIRE]],-Matiere_premiere[[#This Row],[Entrée]],-Matiere_premiere[[#This Row],[Sortis]])</f>
        <v>0</v>
      </c>
      <c r="W223" s="50" t="str">
        <f>CONCATENATE(Matiere_premiere[[#This Row],[CODE COLEUR]],"_",Matiere_premiere[[#This Row],[COULEUR]],"_",Matiere_premiere[[#This Row],[CODE FAB]],"_",Matiere_premiere[[#This Row],[Num de Lot]])</f>
        <v>C08_GRIS ANTHRACITE_NM15-08.00_59358</v>
      </c>
    </row>
    <row r="224" spans="1:23" ht="19.7" customHeight="1" thickBot="1" x14ac:dyDescent="0.3">
      <c r="A224" s="68"/>
      <c r="B224" s="71"/>
      <c r="C224" s="71"/>
      <c r="D224" s="74"/>
      <c r="E224" s="76"/>
      <c r="F224" s="78"/>
      <c r="G224" s="74"/>
      <c r="H224" s="76"/>
      <c r="I224" s="80"/>
      <c r="J224" s="11" t="str">
        <f>Matiere_premiere[[#This Row],[Entrepot]]</f>
        <v>E3</v>
      </c>
      <c r="K224" s="9" t="b">
        <f>IF(Matiere_premiere[[#This Row],[INVENTAIRE]]&gt;0,TRUE,FALSE)</f>
        <v>0</v>
      </c>
      <c r="L224" s="65"/>
      <c r="M224" s="13" t="s">
        <v>103</v>
      </c>
      <c r="N224" s="13" t="s">
        <v>249</v>
      </c>
      <c r="O224" s="13" t="s">
        <v>248</v>
      </c>
      <c r="P224" s="13" t="s">
        <v>250</v>
      </c>
      <c r="Q224" s="55">
        <v>59358</v>
      </c>
      <c r="R224" s="13" t="s">
        <v>73</v>
      </c>
      <c r="S224" s="14">
        <v>0</v>
      </c>
      <c r="T224" s="14"/>
      <c r="U224" s="14"/>
      <c r="V224" s="14">
        <f>SUM(Matiere_premiere[[#This Row],[INVENTAIRE]],-Matiere_premiere[[#This Row],[Entrée]],-Matiere_premiere[[#This Row],[Sortis]])</f>
        <v>0</v>
      </c>
      <c r="W224" s="50" t="str">
        <f>CONCATENATE(Matiere_premiere[[#This Row],[CODE COLEUR]],"_",Matiere_premiere[[#This Row],[COULEUR]],"_",Matiere_premiere[[#This Row],[CODE FAB]],"_",Matiere_premiere[[#This Row],[Num de Lot]])</f>
        <v>C08_GRIS ANTHRACITE_NM15-08.00_59358</v>
      </c>
    </row>
    <row r="225" spans="1:23" ht="19.7" customHeight="1" thickBot="1" x14ac:dyDescent="0.3">
      <c r="A225" s="69"/>
      <c r="B225" s="72"/>
      <c r="C225" s="72"/>
      <c r="D225" s="75"/>
      <c r="E225" s="77"/>
      <c r="F225" s="79"/>
      <c r="G225" s="75"/>
      <c r="H225" s="77"/>
      <c r="I225" s="81"/>
      <c r="J225" s="10" t="str">
        <f>Matiere_premiere[[#This Row],[Entrepot]]</f>
        <v>Usine</v>
      </c>
      <c r="K225" s="9" t="b">
        <f>IF(Matiere_premiere[[#This Row],[INVENTAIRE]]&gt;0,TRUE,FALSE)</f>
        <v>1</v>
      </c>
      <c r="L225" s="66"/>
      <c r="M225" s="13" t="s">
        <v>103</v>
      </c>
      <c r="N225" s="13" t="s">
        <v>249</v>
      </c>
      <c r="O225" s="13" t="s">
        <v>248</v>
      </c>
      <c r="P225" s="13" t="s">
        <v>250</v>
      </c>
      <c r="Q225" s="55">
        <v>59358</v>
      </c>
      <c r="R225" s="13" t="s">
        <v>68</v>
      </c>
      <c r="S225" s="14">
        <v>163.19999999999999</v>
      </c>
      <c r="T225" s="14"/>
      <c r="U225" s="14"/>
      <c r="V225" s="14">
        <f>SUM(Matiere_premiere[[#This Row],[INVENTAIRE]],-Matiere_premiere[[#This Row],[Entrée]],-Matiere_premiere[[#This Row],[Sortis]])</f>
        <v>163.19999999999999</v>
      </c>
      <c r="W225" s="50" t="str">
        <f>CONCATENATE(Matiere_premiere[[#This Row],[CODE COLEUR]],"_",Matiere_premiere[[#This Row],[COULEUR]],"_",Matiere_premiere[[#This Row],[CODE FAB]],"_",Matiere_premiere[[#This Row],[Num de Lot]])</f>
        <v>C08_GRIS ANTHRACITE_NM15-08.00_59358</v>
      </c>
    </row>
    <row r="226" spans="1:23" ht="19.7" customHeight="1" thickTop="1" thickBot="1" x14ac:dyDescent="0.3">
      <c r="A226" s="67" t="str">
        <f>Matiere_premiere[[#This Row],[NUMERO METRIQUE]]</f>
        <v>NM20</v>
      </c>
      <c r="B226" s="70" t="str">
        <f>Matiere_premiere[[#This Row],[COULEUR]]</f>
        <v>GRIS ANTHRACITE</v>
      </c>
      <c r="C226" s="70" t="str">
        <f>Matiere_premiere[[#This Row],[CODE COLEUR]]</f>
        <v>C08</v>
      </c>
      <c r="D226" s="73" t="str">
        <f>Matiere_premiere[[#This Row],[CODE FAB]]</f>
        <v>NM20-08.00</v>
      </c>
      <c r="E226" s="76" t="e" vm="81">
        <f>_xlfn.IMAGE("https://api.qrserver.com/v1/create-qr-code/?size=100x100&amp;data=" &amp; D226)</f>
        <v>#VALUE!</v>
      </c>
      <c r="F226" s="78"/>
      <c r="G226" s="73" t="str">
        <f>Matiere_premiere[[#This Row],[Num de Lot]]</f>
        <v>S2022</v>
      </c>
      <c r="H226" s="76" t="e" vm="82">
        <f>_xlfn.IMAGE("https://api.qrserver.com/v1/create-qr-code/?size=100x100&amp;data=" &amp; G226)</f>
        <v>#VALUE!</v>
      </c>
      <c r="I226" s="80"/>
      <c r="J226" s="12" t="str">
        <f>Matiere_premiere[[#This Row],[Entrepot]]</f>
        <v>E1</v>
      </c>
      <c r="K226" s="9" t="b">
        <f>IF(Matiere_premiere[[#This Row],[INVENTAIRE]]&gt;0,TRUE,FALSE)</f>
        <v>1</v>
      </c>
      <c r="L226" s="65"/>
      <c r="M226" s="8" t="s">
        <v>82</v>
      </c>
      <c r="N226" s="8" t="s">
        <v>249</v>
      </c>
      <c r="O226" s="8" t="s">
        <v>248</v>
      </c>
      <c r="P226" s="8" t="s">
        <v>247</v>
      </c>
      <c r="Q226" s="53" t="s">
        <v>107</v>
      </c>
      <c r="R226" s="8" t="s">
        <v>75</v>
      </c>
      <c r="S226" s="7">
        <v>55</v>
      </c>
      <c r="T226" s="7"/>
      <c r="U226" s="7"/>
      <c r="V226" s="7">
        <f>SUM(Matiere_premiere[[#This Row],[INVENTAIRE]],-Matiere_premiere[[#This Row],[Entrée]],-Matiere_premiere[[#This Row],[Sortis]])</f>
        <v>55</v>
      </c>
      <c r="W226" s="50" t="str">
        <f>CONCATENATE(Matiere_premiere[[#This Row],[CODE COLEUR]],"_",Matiere_premiere[[#This Row],[COULEUR]],"_",Matiere_premiere[[#This Row],[CODE FAB]],"_",Matiere_premiere[[#This Row],[Num de Lot]])</f>
        <v>C08_GRIS ANTHRACITE_NM20-08.00_S2022</v>
      </c>
    </row>
    <row r="227" spans="1:23" ht="19.7" customHeight="1" thickBot="1" x14ac:dyDescent="0.3">
      <c r="A227" s="68"/>
      <c r="B227" s="71"/>
      <c r="C227" s="71"/>
      <c r="D227" s="74"/>
      <c r="E227" s="76"/>
      <c r="F227" s="78"/>
      <c r="G227" s="74"/>
      <c r="H227" s="76"/>
      <c r="I227" s="80"/>
      <c r="J227" s="11" t="str">
        <f>Matiere_premiere[[#This Row],[Entrepot]]</f>
        <v>E2</v>
      </c>
      <c r="K227" s="9" t="b">
        <f>IF(Matiere_premiere[[#This Row],[INVENTAIRE]]&gt;0,TRUE,FALSE)</f>
        <v>0</v>
      </c>
      <c r="L227" s="65"/>
      <c r="M227" s="8" t="s">
        <v>82</v>
      </c>
      <c r="N227" s="8" t="s">
        <v>249</v>
      </c>
      <c r="O227" s="8" t="s">
        <v>248</v>
      </c>
      <c r="P227" s="8" t="s">
        <v>247</v>
      </c>
      <c r="Q227" s="53" t="s">
        <v>107</v>
      </c>
      <c r="R227" s="8" t="s">
        <v>74</v>
      </c>
      <c r="S227" s="7">
        <v>0</v>
      </c>
      <c r="T227" s="7"/>
      <c r="U227" s="7"/>
      <c r="V227" s="7">
        <f>SUM(Matiere_premiere[[#This Row],[INVENTAIRE]],-Matiere_premiere[[#This Row],[Entrée]],-Matiere_premiere[[#This Row],[Sortis]])</f>
        <v>0</v>
      </c>
      <c r="W227" s="50" t="str">
        <f>CONCATENATE(Matiere_premiere[[#This Row],[CODE COLEUR]],"_",Matiere_premiere[[#This Row],[COULEUR]],"_",Matiere_premiere[[#This Row],[CODE FAB]],"_",Matiere_premiere[[#This Row],[Num de Lot]])</f>
        <v>C08_GRIS ANTHRACITE_NM20-08.00_S2022</v>
      </c>
    </row>
    <row r="228" spans="1:23" ht="19.7" customHeight="1" thickBot="1" x14ac:dyDescent="0.3">
      <c r="A228" s="68"/>
      <c r="B228" s="71"/>
      <c r="C228" s="71"/>
      <c r="D228" s="74"/>
      <c r="E228" s="76"/>
      <c r="F228" s="78"/>
      <c r="G228" s="74"/>
      <c r="H228" s="76"/>
      <c r="I228" s="80"/>
      <c r="J228" s="11" t="str">
        <f>Matiere_premiere[[#This Row],[Entrepot]]</f>
        <v>E3</v>
      </c>
      <c r="K228" s="9" t="b">
        <f>IF(Matiere_premiere[[#This Row],[INVENTAIRE]]&gt;0,TRUE,FALSE)</f>
        <v>0</v>
      </c>
      <c r="L228" s="65"/>
      <c r="M228" s="8" t="s">
        <v>82</v>
      </c>
      <c r="N228" s="8" t="s">
        <v>249</v>
      </c>
      <c r="O228" s="8" t="s">
        <v>248</v>
      </c>
      <c r="P228" s="8" t="s">
        <v>247</v>
      </c>
      <c r="Q228" s="53" t="s">
        <v>107</v>
      </c>
      <c r="R228" s="8" t="s">
        <v>73</v>
      </c>
      <c r="S228" s="7">
        <v>0</v>
      </c>
      <c r="T228" s="7"/>
      <c r="U228" s="7"/>
      <c r="V228" s="7">
        <f>SUM(Matiere_premiere[[#This Row],[INVENTAIRE]],-Matiere_premiere[[#This Row],[Entrée]],-Matiere_premiere[[#This Row],[Sortis]])</f>
        <v>0</v>
      </c>
      <c r="W228" s="50" t="str">
        <f>CONCATENATE(Matiere_premiere[[#This Row],[CODE COLEUR]],"_",Matiere_premiere[[#This Row],[COULEUR]],"_",Matiere_premiere[[#This Row],[CODE FAB]],"_",Matiere_premiere[[#This Row],[Num de Lot]])</f>
        <v>C08_GRIS ANTHRACITE_NM20-08.00_S2022</v>
      </c>
    </row>
    <row r="229" spans="1:23" ht="19.7" customHeight="1" thickBot="1" x14ac:dyDescent="0.3">
      <c r="A229" s="69"/>
      <c r="B229" s="72"/>
      <c r="C229" s="72"/>
      <c r="D229" s="75"/>
      <c r="E229" s="77"/>
      <c r="F229" s="79"/>
      <c r="G229" s="75"/>
      <c r="H229" s="77"/>
      <c r="I229" s="81"/>
      <c r="J229" s="10" t="str">
        <f>Matiere_premiere[[#This Row],[Entrepot]]</f>
        <v>Usine</v>
      </c>
      <c r="K229" s="9" t="b">
        <f>IF(Matiere_premiere[[#This Row],[INVENTAIRE]]&gt;0,TRUE,FALSE)</f>
        <v>0</v>
      </c>
      <c r="L229" s="66"/>
      <c r="M229" s="8" t="s">
        <v>82</v>
      </c>
      <c r="N229" s="8" t="s">
        <v>249</v>
      </c>
      <c r="O229" s="8" t="s">
        <v>248</v>
      </c>
      <c r="P229" s="8" t="s">
        <v>247</v>
      </c>
      <c r="Q229" s="53" t="s">
        <v>107</v>
      </c>
      <c r="R229" s="8" t="s">
        <v>68</v>
      </c>
      <c r="S229" s="7">
        <v>0</v>
      </c>
      <c r="T229" s="7"/>
      <c r="U229" s="7"/>
      <c r="V229" s="7">
        <f>SUM(Matiere_premiere[[#This Row],[INVENTAIRE]],-Matiere_premiere[[#This Row],[Entrée]],-Matiere_premiere[[#This Row],[Sortis]])</f>
        <v>0</v>
      </c>
      <c r="W229" s="50" t="str">
        <f>CONCATENATE(Matiere_premiere[[#This Row],[CODE COLEUR]],"_",Matiere_premiere[[#This Row],[COULEUR]],"_",Matiere_premiere[[#This Row],[CODE FAB]],"_",Matiere_premiere[[#This Row],[Num de Lot]])</f>
        <v>C08_GRIS ANTHRACITE_NM20-08.00_S2022</v>
      </c>
    </row>
    <row r="230" spans="1:23" ht="19.7" customHeight="1" thickTop="1" thickBot="1" x14ac:dyDescent="0.3">
      <c r="A230" s="67" t="str">
        <f>Matiere_premiere[[#This Row],[NUMERO METRIQUE]]</f>
        <v>NM05</v>
      </c>
      <c r="B230" s="70" t="str">
        <f>Matiere_premiere[[#This Row],[COULEUR]]</f>
        <v>NOIR</v>
      </c>
      <c r="C230" s="70" t="str">
        <f>Matiere_premiere[[#This Row],[CODE COLEUR]]</f>
        <v>C09</v>
      </c>
      <c r="D230" s="73" t="str">
        <f>Matiere_premiere[[#This Row],[CODE FAB]]</f>
        <v>NM05-09.00</v>
      </c>
      <c r="E230" s="76" t="e" vm="83">
        <f>_xlfn.IMAGE("https://api.qrserver.com/v1/create-qr-code/?size=100x100&amp;data=" &amp; D230)</f>
        <v>#VALUE!</v>
      </c>
      <c r="F230" s="78"/>
      <c r="G230" s="73">
        <f>Matiere_premiere[[#This Row],[Num de Lot]]</f>
        <v>59713</v>
      </c>
      <c r="H230" s="76" t="e" vm="84">
        <f>_xlfn.IMAGE("https://api.qrserver.com/v1/create-qr-code/?size=100x100&amp;data=" &amp; G230)</f>
        <v>#VALUE!</v>
      </c>
      <c r="I230" s="80"/>
      <c r="J230" s="12" t="str">
        <f>Matiere_premiere[[#This Row],[Entrepot]]</f>
        <v>E1</v>
      </c>
      <c r="K230" s="9" t="b">
        <f>IF(Matiere_premiere[[#This Row],[INVENTAIRE]]&gt;0,TRUE,FALSE)</f>
        <v>0</v>
      </c>
      <c r="L230" s="65"/>
      <c r="M230" s="13" t="s">
        <v>119</v>
      </c>
      <c r="N230" s="13" t="s">
        <v>240</v>
      </c>
      <c r="O230" s="13" t="s">
        <v>239</v>
      </c>
      <c r="P230" s="13" t="s">
        <v>246</v>
      </c>
      <c r="Q230" s="55">
        <v>59713</v>
      </c>
      <c r="R230" s="13" t="s">
        <v>75</v>
      </c>
      <c r="S230" s="14">
        <v>0</v>
      </c>
      <c r="T230" s="14"/>
      <c r="U230" s="14"/>
      <c r="V230" s="14">
        <f>SUM(Matiere_premiere[[#This Row],[INVENTAIRE]],-Matiere_premiere[[#This Row],[Entrée]],-Matiere_premiere[[#This Row],[Sortis]])</f>
        <v>0</v>
      </c>
      <c r="W230" s="50" t="str">
        <f>CONCATENATE(Matiere_premiere[[#This Row],[CODE COLEUR]],"_",Matiere_premiere[[#This Row],[COULEUR]],"_",Matiere_premiere[[#This Row],[CODE FAB]],"_",Matiere_premiere[[#This Row],[Num de Lot]])</f>
        <v>C09_NOIR_NM05-09.00_59713</v>
      </c>
    </row>
    <row r="231" spans="1:23" ht="19.7" customHeight="1" thickBot="1" x14ac:dyDescent="0.3">
      <c r="A231" s="68"/>
      <c r="B231" s="71"/>
      <c r="C231" s="71"/>
      <c r="D231" s="74"/>
      <c r="E231" s="76"/>
      <c r="F231" s="78"/>
      <c r="G231" s="74"/>
      <c r="H231" s="76"/>
      <c r="I231" s="80"/>
      <c r="J231" s="11" t="str">
        <f>Matiere_premiere[[#This Row],[Entrepot]]</f>
        <v>E2</v>
      </c>
      <c r="K231" s="9" t="b">
        <f>IF(Matiere_premiere[[#This Row],[INVENTAIRE]]&gt;0,TRUE,FALSE)</f>
        <v>1</v>
      </c>
      <c r="L231" s="65"/>
      <c r="M231" s="13" t="s">
        <v>119</v>
      </c>
      <c r="N231" s="13" t="s">
        <v>240</v>
      </c>
      <c r="O231" s="13" t="s">
        <v>239</v>
      </c>
      <c r="P231" s="13" t="s">
        <v>246</v>
      </c>
      <c r="Q231" s="55">
        <v>59713</v>
      </c>
      <c r="R231" s="13" t="s">
        <v>74</v>
      </c>
      <c r="S231" s="14">
        <v>2947</v>
      </c>
      <c r="T231" s="14"/>
      <c r="U231" s="14"/>
      <c r="V231" s="14">
        <f>SUM(Matiere_premiere[[#This Row],[INVENTAIRE]],-Matiere_premiere[[#This Row],[Entrée]],-Matiere_premiere[[#This Row],[Sortis]])</f>
        <v>2947</v>
      </c>
      <c r="W231" s="50" t="str">
        <f>CONCATENATE(Matiere_premiere[[#This Row],[CODE COLEUR]],"_",Matiere_premiere[[#This Row],[COULEUR]],"_",Matiere_premiere[[#This Row],[CODE FAB]],"_",Matiere_premiere[[#This Row],[Num de Lot]])</f>
        <v>C09_NOIR_NM05-09.00_59713</v>
      </c>
    </row>
    <row r="232" spans="1:23" ht="19.7" customHeight="1" thickBot="1" x14ac:dyDescent="0.3">
      <c r="A232" s="68"/>
      <c r="B232" s="71"/>
      <c r="C232" s="71"/>
      <c r="D232" s="74"/>
      <c r="E232" s="76"/>
      <c r="F232" s="78"/>
      <c r="G232" s="74"/>
      <c r="H232" s="76"/>
      <c r="I232" s="80"/>
      <c r="J232" s="11" t="str">
        <f>Matiere_premiere[[#This Row],[Entrepot]]</f>
        <v>E3</v>
      </c>
      <c r="K232" s="9" t="b">
        <f>IF(Matiere_premiere[[#This Row],[INVENTAIRE]]&gt;0,TRUE,FALSE)</f>
        <v>1</v>
      </c>
      <c r="L232" s="65"/>
      <c r="M232" s="13" t="s">
        <v>119</v>
      </c>
      <c r="N232" s="13" t="s">
        <v>240</v>
      </c>
      <c r="O232" s="13" t="s">
        <v>239</v>
      </c>
      <c r="P232" s="13" t="s">
        <v>246</v>
      </c>
      <c r="Q232" s="55">
        <v>59713</v>
      </c>
      <c r="R232" s="13" t="s">
        <v>73</v>
      </c>
      <c r="S232" s="14">
        <v>2642.5</v>
      </c>
      <c r="T232" s="14"/>
      <c r="U232" s="14"/>
      <c r="V232" s="14">
        <f>SUM(Matiere_premiere[[#This Row],[INVENTAIRE]],-Matiere_premiere[[#This Row],[Entrée]],-Matiere_premiere[[#This Row],[Sortis]])</f>
        <v>2642.5</v>
      </c>
      <c r="W232" s="50" t="str">
        <f>CONCATENATE(Matiere_premiere[[#This Row],[CODE COLEUR]],"_",Matiere_premiere[[#This Row],[COULEUR]],"_",Matiere_premiere[[#This Row],[CODE FAB]],"_",Matiere_premiere[[#This Row],[Num de Lot]])</f>
        <v>C09_NOIR_NM05-09.00_59713</v>
      </c>
    </row>
    <row r="233" spans="1:23" ht="19.7" customHeight="1" thickBot="1" x14ac:dyDescent="0.3">
      <c r="A233" s="69"/>
      <c r="B233" s="72"/>
      <c r="C233" s="72"/>
      <c r="D233" s="75"/>
      <c r="E233" s="77"/>
      <c r="F233" s="79"/>
      <c r="G233" s="75"/>
      <c r="H233" s="77"/>
      <c r="I233" s="81"/>
      <c r="J233" s="10" t="str">
        <f>Matiere_premiere[[#This Row],[Entrepot]]</f>
        <v>Usine</v>
      </c>
      <c r="K233" s="9" t="b">
        <f>IF(Matiere_premiere[[#This Row],[INVENTAIRE]]&gt;0,TRUE,FALSE)</f>
        <v>1</v>
      </c>
      <c r="L233" s="66"/>
      <c r="M233" s="13" t="s">
        <v>119</v>
      </c>
      <c r="N233" s="13" t="s">
        <v>240</v>
      </c>
      <c r="O233" s="13" t="s">
        <v>239</v>
      </c>
      <c r="P233" s="13" t="s">
        <v>246</v>
      </c>
      <c r="Q233" s="55">
        <v>59713</v>
      </c>
      <c r="R233" s="13" t="s">
        <v>68</v>
      </c>
      <c r="S233" s="14">
        <v>465</v>
      </c>
      <c r="T233" s="14"/>
      <c r="U233" s="14"/>
      <c r="V233" s="14">
        <f>SUM(Matiere_premiere[[#This Row],[INVENTAIRE]],-Matiere_premiere[[#This Row],[Entrée]],-Matiere_premiere[[#This Row],[Sortis]])</f>
        <v>465</v>
      </c>
      <c r="W233" s="50" t="str">
        <f>CONCATENATE(Matiere_premiere[[#This Row],[CODE COLEUR]],"_",Matiere_premiere[[#This Row],[COULEUR]],"_",Matiere_premiere[[#This Row],[CODE FAB]],"_",Matiere_premiere[[#This Row],[Num de Lot]])</f>
        <v>C09_NOIR_NM05-09.00_59713</v>
      </c>
    </row>
    <row r="234" spans="1:23" ht="19.7" customHeight="1" thickTop="1" thickBot="1" x14ac:dyDescent="0.3">
      <c r="A234" s="67" t="str">
        <f>Matiere_premiere[[#This Row],[NUMERO METRIQUE]]</f>
        <v>NM07</v>
      </c>
      <c r="B234" s="70" t="str">
        <f>Matiere_premiere[[#This Row],[COULEUR]]</f>
        <v>NOIR</v>
      </c>
      <c r="C234" s="70" t="str">
        <f>Matiere_premiere[[#This Row],[CODE COLEUR]]</f>
        <v>C09</v>
      </c>
      <c r="D234" s="73" t="str">
        <f>Matiere_premiere[[#This Row],[CODE FAB]]</f>
        <v>NM07-09.00</v>
      </c>
      <c r="E234" s="76" t="e" vm="85">
        <f>_xlfn.IMAGE("https://api.qrserver.com/v1/create-qr-code/?size=100x100&amp;data=" &amp; D234)</f>
        <v>#VALUE!</v>
      </c>
      <c r="F234" s="78"/>
      <c r="G234" s="73">
        <f>Matiere_premiere[[#This Row],[Num de Lot]]</f>
        <v>59979</v>
      </c>
      <c r="H234" s="76" t="e" vm="86">
        <f>_xlfn.IMAGE("https://api.qrserver.com/v1/create-qr-code/?size=100x100&amp;data=" &amp; G234)</f>
        <v>#VALUE!</v>
      </c>
      <c r="I234" s="80"/>
      <c r="J234" s="12" t="str">
        <f>Matiere_premiere[[#This Row],[Entrepot]]</f>
        <v>E1</v>
      </c>
      <c r="K234" s="9" t="b">
        <f>IF(Matiere_premiere[[#This Row],[INVENTAIRE]]&gt;0,TRUE,FALSE)</f>
        <v>0</v>
      </c>
      <c r="L234" s="65"/>
      <c r="M234" s="8" t="s">
        <v>143</v>
      </c>
      <c r="N234" s="8" t="s">
        <v>240</v>
      </c>
      <c r="O234" s="8" t="s">
        <v>239</v>
      </c>
      <c r="P234" s="8" t="s">
        <v>245</v>
      </c>
      <c r="Q234" s="53">
        <v>59979</v>
      </c>
      <c r="R234" s="8" t="s">
        <v>75</v>
      </c>
      <c r="S234" s="7">
        <v>0</v>
      </c>
      <c r="T234" s="7"/>
      <c r="U234" s="7"/>
      <c r="V234" s="7">
        <f>SUM(Matiere_premiere[[#This Row],[INVENTAIRE]],-Matiere_premiere[[#This Row],[Entrée]],-Matiere_premiere[[#This Row],[Sortis]])</f>
        <v>0</v>
      </c>
      <c r="W234" s="50" t="str">
        <f>CONCATENATE(Matiere_premiere[[#This Row],[CODE COLEUR]],"_",Matiere_premiere[[#This Row],[COULEUR]],"_",Matiere_premiere[[#This Row],[CODE FAB]],"_",Matiere_premiere[[#This Row],[Num de Lot]])</f>
        <v>C09_NOIR_NM07-09.00_59979</v>
      </c>
    </row>
    <row r="235" spans="1:23" ht="19.7" customHeight="1" thickBot="1" x14ac:dyDescent="0.3">
      <c r="A235" s="68"/>
      <c r="B235" s="71"/>
      <c r="C235" s="71"/>
      <c r="D235" s="74"/>
      <c r="E235" s="76"/>
      <c r="F235" s="78"/>
      <c r="G235" s="74"/>
      <c r="H235" s="76"/>
      <c r="I235" s="80"/>
      <c r="J235" s="11" t="str">
        <f>Matiere_premiere[[#This Row],[Entrepot]]</f>
        <v>E2</v>
      </c>
      <c r="K235" s="9" t="b">
        <f>IF(Matiere_premiere[[#This Row],[INVENTAIRE]]&gt;0,TRUE,FALSE)</f>
        <v>0</v>
      </c>
      <c r="L235" s="65"/>
      <c r="M235" s="8" t="s">
        <v>143</v>
      </c>
      <c r="N235" s="8" t="s">
        <v>240</v>
      </c>
      <c r="O235" s="8" t="s">
        <v>239</v>
      </c>
      <c r="P235" s="8" t="s">
        <v>245</v>
      </c>
      <c r="Q235" s="53">
        <v>59979</v>
      </c>
      <c r="R235" s="8" t="s">
        <v>74</v>
      </c>
      <c r="S235" s="7">
        <v>0</v>
      </c>
      <c r="T235" s="7"/>
      <c r="U235" s="7"/>
      <c r="V235" s="7">
        <f>SUM(Matiere_premiere[[#This Row],[INVENTAIRE]],-Matiere_premiere[[#This Row],[Entrée]],-Matiere_premiere[[#This Row],[Sortis]])</f>
        <v>0</v>
      </c>
      <c r="W235" s="50" t="str">
        <f>CONCATENATE(Matiere_premiere[[#This Row],[CODE COLEUR]],"_",Matiere_premiere[[#This Row],[COULEUR]],"_",Matiere_premiere[[#This Row],[CODE FAB]],"_",Matiere_premiere[[#This Row],[Num de Lot]])</f>
        <v>C09_NOIR_NM07-09.00_59979</v>
      </c>
    </row>
    <row r="236" spans="1:23" ht="19.7" customHeight="1" thickBot="1" x14ac:dyDescent="0.3">
      <c r="A236" s="68"/>
      <c r="B236" s="71"/>
      <c r="C236" s="71"/>
      <c r="D236" s="74"/>
      <c r="E236" s="76"/>
      <c r="F236" s="78"/>
      <c r="G236" s="74"/>
      <c r="H236" s="76"/>
      <c r="I236" s="80"/>
      <c r="J236" s="11" t="str">
        <f>Matiere_premiere[[#This Row],[Entrepot]]</f>
        <v>E3</v>
      </c>
      <c r="K236" s="9" t="b">
        <f>IF(Matiere_premiere[[#This Row],[INVENTAIRE]]&gt;0,TRUE,FALSE)</f>
        <v>0</v>
      </c>
      <c r="L236" s="65"/>
      <c r="M236" s="8" t="s">
        <v>143</v>
      </c>
      <c r="N236" s="8" t="s">
        <v>240</v>
      </c>
      <c r="O236" s="8" t="s">
        <v>239</v>
      </c>
      <c r="P236" s="8" t="s">
        <v>245</v>
      </c>
      <c r="Q236" s="53">
        <v>59979</v>
      </c>
      <c r="R236" s="8" t="s">
        <v>73</v>
      </c>
      <c r="S236" s="7">
        <v>0</v>
      </c>
      <c r="T236" s="7"/>
      <c r="U236" s="7"/>
      <c r="V236" s="7">
        <f>SUM(Matiere_premiere[[#This Row],[INVENTAIRE]],-Matiere_premiere[[#This Row],[Entrée]],-Matiere_premiere[[#This Row],[Sortis]])</f>
        <v>0</v>
      </c>
      <c r="W236" s="50" t="str">
        <f>CONCATENATE(Matiere_premiere[[#This Row],[CODE COLEUR]],"_",Matiere_premiere[[#This Row],[COULEUR]],"_",Matiere_premiere[[#This Row],[CODE FAB]],"_",Matiere_premiere[[#This Row],[Num de Lot]])</f>
        <v>C09_NOIR_NM07-09.00_59979</v>
      </c>
    </row>
    <row r="237" spans="1:23" ht="19.7" customHeight="1" thickBot="1" x14ac:dyDescent="0.3">
      <c r="A237" s="69"/>
      <c r="B237" s="72"/>
      <c r="C237" s="72"/>
      <c r="D237" s="75"/>
      <c r="E237" s="77"/>
      <c r="F237" s="79"/>
      <c r="G237" s="75"/>
      <c r="H237" s="77"/>
      <c r="I237" s="81"/>
      <c r="J237" s="10" t="str">
        <f>Matiere_premiere[[#This Row],[Entrepot]]</f>
        <v>Usine</v>
      </c>
      <c r="K237" s="9" t="b">
        <f>IF(Matiere_premiere[[#This Row],[INVENTAIRE]]&gt;0,TRUE,FALSE)</f>
        <v>0</v>
      </c>
      <c r="L237" s="66"/>
      <c r="M237" s="8" t="s">
        <v>143</v>
      </c>
      <c r="N237" s="8" t="s">
        <v>240</v>
      </c>
      <c r="O237" s="8" t="s">
        <v>239</v>
      </c>
      <c r="P237" s="8" t="s">
        <v>245</v>
      </c>
      <c r="Q237" s="53">
        <v>59979</v>
      </c>
      <c r="R237" s="8" t="s">
        <v>68</v>
      </c>
      <c r="S237" s="7">
        <v>0</v>
      </c>
      <c r="T237" s="7"/>
      <c r="U237" s="7"/>
      <c r="V237" s="7">
        <f>SUM(Matiere_premiere[[#This Row],[INVENTAIRE]],-Matiere_premiere[[#This Row],[Entrée]],-Matiere_premiere[[#This Row],[Sortis]])</f>
        <v>0</v>
      </c>
      <c r="W237" s="50" t="str">
        <f>CONCATENATE(Matiere_premiere[[#This Row],[CODE COLEUR]],"_",Matiere_premiere[[#This Row],[COULEUR]],"_",Matiere_premiere[[#This Row],[CODE FAB]],"_",Matiere_premiere[[#This Row],[Num de Lot]])</f>
        <v>C09_NOIR_NM07-09.00_59979</v>
      </c>
    </row>
    <row r="238" spans="1:23" ht="19.7" customHeight="1" thickTop="1" thickBot="1" x14ac:dyDescent="0.3">
      <c r="A238" s="67" t="str">
        <f>Matiere_premiere[[#This Row],[NUMERO METRIQUE]]</f>
        <v>NM10</v>
      </c>
      <c r="B238" s="70" t="str">
        <f>Matiere_premiere[[#This Row],[COULEUR]]</f>
        <v>BLEU NUIT</v>
      </c>
      <c r="C238" s="70" t="str">
        <f>Matiere_premiere[[#This Row],[CODE COLEUR]]</f>
        <v>C09</v>
      </c>
      <c r="D238" s="73" t="str">
        <f>Matiere_premiere[[#This Row],[CODE FAB]]</f>
        <v>NM10-09.00</v>
      </c>
      <c r="E238" s="76" t="e" vm="87">
        <f>_xlfn.IMAGE("https://api.qrserver.com/v1/create-qr-code/?size=100x100&amp;data=" &amp; D238)</f>
        <v>#VALUE!</v>
      </c>
      <c r="F238" s="78"/>
      <c r="G238" s="73">
        <f>Matiere_premiere[[#This Row],[Num de Lot]]</f>
        <v>59176</v>
      </c>
      <c r="H238" s="76" t="e" vm="88">
        <f>_xlfn.IMAGE("https://api.qrserver.com/v1/create-qr-code/?size=100x100&amp;data=" &amp; G238)</f>
        <v>#VALUE!</v>
      </c>
      <c r="I238" s="80"/>
      <c r="J238" s="12" t="str">
        <f>Matiere_premiere[[#This Row],[Entrepot]]</f>
        <v>E1</v>
      </c>
      <c r="K238" s="9" t="b">
        <f>IF(Matiere_premiere[[#This Row],[INVENTAIRE]]&gt;0,TRUE,FALSE)</f>
        <v>0</v>
      </c>
      <c r="L238" s="65"/>
      <c r="M238" s="13" t="s">
        <v>116</v>
      </c>
      <c r="N238" s="13" t="s">
        <v>244</v>
      </c>
      <c r="O238" s="13" t="s">
        <v>239</v>
      </c>
      <c r="P238" s="13" t="s">
        <v>243</v>
      </c>
      <c r="Q238" s="55">
        <v>59176</v>
      </c>
      <c r="R238" s="13" t="s">
        <v>75</v>
      </c>
      <c r="S238" s="14">
        <v>0</v>
      </c>
      <c r="T238" s="14"/>
      <c r="U238" s="14"/>
      <c r="V238" s="14">
        <f>SUM(Matiere_premiere[[#This Row],[INVENTAIRE]],-Matiere_premiere[[#This Row],[Entrée]],-Matiere_premiere[[#This Row],[Sortis]])</f>
        <v>0</v>
      </c>
      <c r="W238" s="50" t="str">
        <f>CONCATENATE(Matiere_premiere[[#This Row],[CODE COLEUR]],"_",Matiere_premiere[[#This Row],[COULEUR]],"_",Matiere_premiere[[#This Row],[CODE FAB]],"_",Matiere_premiere[[#This Row],[Num de Lot]])</f>
        <v>C09_BLEU NUIT_NM10-09.00_59176</v>
      </c>
    </row>
    <row r="239" spans="1:23" ht="19.7" customHeight="1" thickBot="1" x14ac:dyDescent="0.3">
      <c r="A239" s="68"/>
      <c r="B239" s="71"/>
      <c r="C239" s="71"/>
      <c r="D239" s="74"/>
      <c r="E239" s="76"/>
      <c r="F239" s="78"/>
      <c r="G239" s="74"/>
      <c r="H239" s="76"/>
      <c r="I239" s="80"/>
      <c r="J239" s="11" t="str">
        <f>Matiere_premiere[[#This Row],[Entrepot]]</f>
        <v>E2</v>
      </c>
      <c r="K239" s="9" t="b">
        <f>IF(Matiere_premiere[[#This Row],[INVENTAIRE]]&gt;0,TRUE,FALSE)</f>
        <v>0</v>
      </c>
      <c r="L239" s="65"/>
      <c r="M239" s="13" t="s">
        <v>116</v>
      </c>
      <c r="N239" s="13" t="s">
        <v>244</v>
      </c>
      <c r="O239" s="13" t="s">
        <v>239</v>
      </c>
      <c r="P239" s="13" t="s">
        <v>243</v>
      </c>
      <c r="Q239" s="55">
        <v>59176</v>
      </c>
      <c r="R239" s="13" t="s">
        <v>74</v>
      </c>
      <c r="S239" s="14">
        <v>0</v>
      </c>
      <c r="T239" s="14"/>
      <c r="U239" s="14"/>
      <c r="V239" s="14">
        <f>SUM(Matiere_premiere[[#This Row],[INVENTAIRE]],-Matiere_premiere[[#This Row],[Entrée]],-Matiere_premiere[[#This Row],[Sortis]])</f>
        <v>0</v>
      </c>
      <c r="W239" s="50" t="str">
        <f>CONCATENATE(Matiere_premiere[[#This Row],[CODE COLEUR]],"_",Matiere_premiere[[#This Row],[COULEUR]],"_",Matiere_premiere[[#This Row],[CODE FAB]],"_",Matiere_premiere[[#This Row],[Num de Lot]])</f>
        <v>C09_BLEU NUIT_NM10-09.00_59176</v>
      </c>
    </row>
    <row r="240" spans="1:23" ht="19.7" customHeight="1" thickBot="1" x14ac:dyDescent="0.3">
      <c r="A240" s="68"/>
      <c r="B240" s="71"/>
      <c r="C240" s="71"/>
      <c r="D240" s="74"/>
      <c r="E240" s="76"/>
      <c r="F240" s="78"/>
      <c r="G240" s="74"/>
      <c r="H240" s="76"/>
      <c r="I240" s="80"/>
      <c r="J240" s="11" t="str">
        <f>Matiere_premiere[[#This Row],[Entrepot]]</f>
        <v>E3</v>
      </c>
      <c r="K240" s="9" t="b">
        <f>IF(Matiere_premiere[[#This Row],[INVENTAIRE]]&gt;0,TRUE,FALSE)</f>
        <v>1</v>
      </c>
      <c r="L240" s="65"/>
      <c r="M240" s="13" t="s">
        <v>116</v>
      </c>
      <c r="N240" s="13" t="s">
        <v>244</v>
      </c>
      <c r="O240" s="13" t="s">
        <v>239</v>
      </c>
      <c r="P240" s="13" t="s">
        <v>243</v>
      </c>
      <c r="Q240" s="55">
        <v>59176</v>
      </c>
      <c r="R240" s="13" t="s">
        <v>73</v>
      </c>
      <c r="S240" s="14">
        <v>507.5</v>
      </c>
      <c r="T240" s="14"/>
      <c r="U240" s="14"/>
      <c r="V240" s="14">
        <f>SUM(Matiere_premiere[[#This Row],[INVENTAIRE]],-Matiere_premiere[[#This Row],[Entrée]],-Matiere_premiere[[#This Row],[Sortis]])</f>
        <v>507.5</v>
      </c>
      <c r="W240" s="50" t="str">
        <f>CONCATENATE(Matiere_premiere[[#This Row],[CODE COLEUR]],"_",Matiere_premiere[[#This Row],[COULEUR]],"_",Matiere_premiere[[#This Row],[CODE FAB]],"_",Matiere_premiere[[#This Row],[Num de Lot]])</f>
        <v>C09_BLEU NUIT_NM10-09.00_59176</v>
      </c>
    </row>
    <row r="241" spans="1:23" ht="19.7" customHeight="1" thickBot="1" x14ac:dyDescent="0.3">
      <c r="A241" s="69"/>
      <c r="B241" s="72"/>
      <c r="C241" s="72"/>
      <c r="D241" s="75"/>
      <c r="E241" s="77"/>
      <c r="F241" s="79"/>
      <c r="G241" s="75"/>
      <c r="H241" s="77"/>
      <c r="I241" s="81"/>
      <c r="J241" s="10" t="str">
        <f>Matiere_premiere[[#This Row],[Entrepot]]</f>
        <v>Usine</v>
      </c>
      <c r="K241" s="9" t="b">
        <f>IF(Matiere_premiere[[#This Row],[INVENTAIRE]]&gt;0,TRUE,FALSE)</f>
        <v>1</v>
      </c>
      <c r="L241" s="66"/>
      <c r="M241" s="13" t="s">
        <v>116</v>
      </c>
      <c r="N241" s="13" t="s">
        <v>244</v>
      </c>
      <c r="O241" s="13" t="s">
        <v>239</v>
      </c>
      <c r="P241" s="13" t="s">
        <v>243</v>
      </c>
      <c r="Q241" s="55">
        <v>59176</v>
      </c>
      <c r="R241" s="13" t="s">
        <v>68</v>
      </c>
      <c r="S241" s="14">
        <v>199</v>
      </c>
      <c r="T241" s="14"/>
      <c r="U241" s="14"/>
      <c r="V241" s="14">
        <f>SUM(Matiere_premiere[[#This Row],[INVENTAIRE]],-Matiere_premiere[[#This Row],[Entrée]],-Matiere_premiere[[#This Row],[Sortis]])</f>
        <v>199</v>
      </c>
      <c r="W241" s="50" t="str">
        <f>CONCATENATE(Matiere_premiere[[#This Row],[CODE COLEUR]],"_",Matiere_premiere[[#This Row],[COULEUR]],"_",Matiere_premiere[[#This Row],[CODE FAB]],"_",Matiere_premiere[[#This Row],[Num de Lot]])</f>
        <v>C09_BLEU NUIT_NM10-09.00_59176</v>
      </c>
    </row>
    <row r="242" spans="1:23" ht="19.7" customHeight="1" thickTop="1" thickBot="1" x14ac:dyDescent="0.3">
      <c r="A242" s="67" t="str">
        <f>Matiere_premiere[[#This Row],[NUMERO METRIQUE]]</f>
        <v>NM14</v>
      </c>
      <c r="B242" s="70" t="str">
        <f>Matiere_premiere[[#This Row],[COULEUR]]</f>
        <v>NOIR</v>
      </c>
      <c r="C242" s="70" t="str">
        <f>Matiere_premiere[[#This Row],[CODE COLEUR]]</f>
        <v>C09</v>
      </c>
      <c r="D242" s="73" t="str">
        <f>Matiere_premiere[[#This Row],[CODE FAB]]</f>
        <v>NM14-09.00</v>
      </c>
      <c r="E242" s="76" t="e" vm="89">
        <f>_xlfn.IMAGE("https://api.qrserver.com/v1/create-qr-code/?size=100x100&amp;data=" &amp; D242)</f>
        <v>#VALUE!</v>
      </c>
      <c r="F242" s="78"/>
      <c r="G242" s="73">
        <f>Matiere_premiere[[#This Row],[Num de Lot]]</f>
        <v>59635</v>
      </c>
      <c r="H242" s="76" t="e" vm="90">
        <f>_xlfn.IMAGE("https://api.qrserver.com/v1/create-qr-code/?size=100x100&amp;data=" &amp; G242)</f>
        <v>#VALUE!</v>
      </c>
      <c r="I242" s="80"/>
      <c r="J242" s="12" t="str">
        <f>Matiere_premiere[[#This Row],[Entrepot]]</f>
        <v>E1</v>
      </c>
      <c r="K242" s="9" t="b">
        <f>IF(Matiere_premiere[[#This Row],[INVENTAIRE]]&gt;0,TRUE,FALSE)</f>
        <v>0</v>
      </c>
      <c r="L242" s="65"/>
      <c r="M242" s="8" t="s">
        <v>242</v>
      </c>
      <c r="N242" s="8" t="s">
        <v>240</v>
      </c>
      <c r="O242" s="8" t="s">
        <v>239</v>
      </c>
      <c r="P242" s="8" t="s">
        <v>241</v>
      </c>
      <c r="Q242" s="53">
        <v>59635</v>
      </c>
      <c r="R242" s="8" t="s">
        <v>75</v>
      </c>
      <c r="S242" s="7">
        <v>0</v>
      </c>
      <c r="T242" s="7"/>
      <c r="U242" s="7"/>
      <c r="V242" s="7">
        <f>SUM(Matiere_premiere[[#This Row],[INVENTAIRE]],-Matiere_premiere[[#This Row],[Entrée]],-Matiere_premiere[[#This Row],[Sortis]])</f>
        <v>0</v>
      </c>
      <c r="W242" s="50" t="str">
        <f>CONCATENATE(Matiere_premiere[[#This Row],[CODE COLEUR]],"_",Matiere_premiere[[#This Row],[COULEUR]],"_",Matiere_premiere[[#This Row],[CODE FAB]],"_",Matiere_premiere[[#This Row],[Num de Lot]])</f>
        <v>C09_NOIR_NM14-09.00_59635</v>
      </c>
    </row>
    <row r="243" spans="1:23" ht="19.7" customHeight="1" thickBot="1" x14ac:dyDescent="0.3">
      <c r="A243" s="68"/>
      <c r="B243" s="71"/>
      <c r="C243" s="71"/>
      <c r="D243" s="74"/>
      <c r="E243" s="76"/>
      <c r="F243" s="78"/>
      <c r="G243" s="74"/>
      <c r="H243" s="76"/>
      <c r="I243" s="80"/>
      <c r="J243" s="11" t="str">
        <f>Matiere_premiere[[#This Row],[Entrepot]]</f>
        <v>E2</v>
      </c>
      <c r="K243" s="9" t="b">
        <f>IF(Matiere_premiere[[#This Row],[INVENTAIRE]]&gt;0,TRUE,FALSE)</f>
        <v>0</v>
      </c>
      <c r="L243" s="65"/>
      <c r="M243" s="8" t="s">
        <v>242</v>
      </c>
      <c r="N243" s="8" t="s">
        <v>240</v>
      </c>
      <c r="O243" s="8" t="s">
        <v>239</v>
      </c>
      <c r="P243" s="8" t="s">
        <v>241</v>
      </c>
      <c r="Q243" s="53">
        <v>59635</v>
      </c>
      <c r="R243" s="8" t="s">
        <v>74</v>
      </c>
      <c r="S243" s="7">
        <v>0</v>
      </c>
      <c r="T243" s="7"/>
      <c r="U243" s="7"/>
      <c r="V243" s="7">
        <f>SUM(Matiere_premiere[[#This Row],[INVENTAIRE]],-Matiere_premiere[[#This Row],[Entrée]],-Matiere_premiere[[#This Row],[Sortis]])</f>
        <v>0</v>
      </c>
      <c r="W243" s="50" t="str">
        <f>CONCATENATE(Matiere_premiere[[#This Row],[CODE COLEUR]],"_",Matiere_premiere[[#This Row],[COULEUR]],"_",Matiere_premiere[[#This Row],[CODE FAB]],"_",Matiere_premiere[[#This Row],[Num de Lot]])</f>
        <v>C09_NOIR_NM14-09.00_59635</v>
      </c>
    </row>
    <row r="244" spans="1:23" ht="19.7" customHeight="1" thickBot="1" x14ac:dyDescent="0.3">
      <c r="A244" s="68"/>
      <c r="B244" s="71"/>
      <c r="C244" s="71"/>
      <c r="D244" s="74"/>
      <c r="E244" s="76"/>
      <c r="F244" s="78"/>
      <c r="G244" s="74"/>
      <c r="H244" s="76"/>
      <c r="I244" s="80"/>
      <c r="J244" s="11" t="str">
        <f>Matiere_premiere[[#This Row],[Entrepot]]</f>
        <v>E3</v>
      </c>
      <c r="K244" s="9" t="b">
        <f>IF(Matiere_premiere[[#This Row],[INVENTAIRE]]&gt;0,TRUE,FALSE)</f>
        <v>1</v>
      </c>
      <c r="L244" s="65"/>
      <c r="M244" s="8" t="s">
        <v>242</v>
      </c>
      <c r="N244" s="8" t="s">
        <v>240</v>
      </c>
      <c r="O244" s="8" t="s">
        <v>239</v>
      </c>
      <c r="P244" s="8" t="s">
        <v>241</v>
      </c>
      <c r="Q244" s="53">
        <v>59635</v>
      </c>
      <c r="R244" s="8" t="s">
        <v>73</v>
      </c>
      <c r="S244" s="7">
        <v>927.5</v>
      </c>
      <c r="T244" s="7"/>
      <c r="U244" s="7"/>
      <c r="V244" s="7">
        <f>SUM(Matiere_premiere[[#This Row],[INVENTAIRE]],-Matiere_premiere[[#This Row],[Entrée]],-Matiere_premiere[[#This Row],[Sortis]])</f>
        <v>927.5</v>
      </c>
      <c r="W244" s="50" t="str">
        <f>CONCATENATE(Matiere_premiere[[#This Row],[CODE COLEUR]],"_",Matiere_premiere[[#This Row],[COULEUR]],"_",Matiere_premiere[[#This Row],[CODE FAB]],"_",Matiere_premiere[[#This Row],[Num de Lot]])</f>
        <v>C09_NOIR_NM14-09.00_59635</v>
      </c>
    </row>
    <row r="245" spans="1:23" ht="19.7" customHeight="1" thickBot="1" x14ac:dyDescent="0.3">
      <c r="A245" s="69"/>
      <c r="B245" s="72"/>
      <c r="C245" s="72"/>
      <c r="D245" s="75"/>
      <c r="E245" s="77"/>
      <c r="F245" s="79"/>
      <c r="G245" s="75"/>
      <c r="H245" s="77"/>
      <c r="I245" s="81"/>
      <c r="J245" s="10" t="str">
        <f>Matiere_premiere[[#This Row],[Entrepot]]</f>
        <v>Usine</v>
      </c>
      <c r="K245" s="9" t="b">
        <f>IF(Matiere_premiere[[#This Row],[INVENTAIRE]]&gt;0,TRUE,FALSE)</f>
        <v>1</v>
      </c>
      <c r="L245" s="66"/>
      <c r="M245" s="8" t="s">
        <v>242</v>
      </c>
      <c r="N245" s="8" t="s">
        <v>240</v>
      </c>
      <c r="O245" s="8" t="s">
        <v>239</v>
      </c>
      <c r="P245" s="8" t="s">
        <v>241</v>
      </c>
      <c r="Q245" s="53">
        <v>59635</v>
      </c>
      <c r="R245" s="8" t="s">
        <v>68</v>
      </c>
      <c r="S245" s="7">
        <v>259</v>
      </c>
      <c r="T245" s="7"/>
      <c r="U245" s="7"/>
      <c r="V245" s="7">
        <f>SUM(Matiere_premiere[[#This Row],[INVENTAIRE]],-Matiere_premiere[[#This Row],[Entrée]],-Matiere_premiere[[#This Row],[Sortis]])</f>
        <v>259</v>
      </c>
      <c r="W245" s="50" t="str">
        <f>CONCATENATE(Matiere_premiere[[#This Row],[CODE COLEUR]],"_",Matiere_premiere[[#This Row],[COULEUR]],"_",Matiere_premiere[[#This Row],[CODE FAB]],"_",Matiere_premiere[[#This Row],[Num de Lot]])</f>
        <v>C09_NOIR_NM14-09.00_59635</v>
      </c>
    </row>
    <row r="246" spans="1:23" ht="19.7" customHeight="1" thickTop="1" thickBot="1" x14ac:dyDescent="0.3">
      <c r="A246" s="67" t="str">
        <f>Matiere_premiere[[#This Row],[NUMERO METRIQUE]]</f>
        <v>NM15</v>
      </c>
      <c r="B246" s="70" t="str">
        <f>Matiere_premiere[[#This Row],[COULEUR]]</f>
        <v>NOIR</v>
      </c>
      <c r="C246" s="70" t="str">
        <f>Matiere_premiere[[#This Row],[CODE COLEUR]]</f>
        <v>C09</v>
      </c>
      <c r="D246" s="73" t="str">
        <f>Matiere_premiere[[#This Row],[CODE FAB]]</f>
        <v>NM15-09.00</v>
      </c>
      <c r="E246" s="76" t="e" vm="91">
        <f>_xlfn.IMAGE("https://api.qrserver.com/v1/create-qr-code/?size=100x100&amp;data=" &amp; D246)</f>
        <v>#VALUE!</v>
      </c>
      <c r="F246" s="78"/>
      <c r="G246" s="73">
        <f>Matiere_premiere[[#This Row],[Num de Lot]]</f>
        <v>65231</v>
      </c>
      <c r="H246" s="76" t="e" vm="92">
        <f>_xlfn.IMAGE("https://api.qrserver.com/v1/create-qr-code/?size=100x100&amp;data=" &amp; G246)</f>
        <v>#VALUE!</v>
      </c>
      <c r="I246" s="80"/>
      <c r="J246" s="12" t="str">
        <f>Matiere_premiere[[#This Row],[Entrepot]]</f>
        <v>E1</v>
      </c>
      <c r="K246" s="9" t="b">
        <f>IF(Matiere_premiere[[#This Row],[INVENTAIRE]]&gt;0,TRUE,FALSE)</f>
        <v>0</v>
      </c>
      <c r="L246" s="65"/>
      <c r="M246" s="16" t="s">
        <v>103</v>
      </c>
      <c r="N246" s="16" t="s">
        <v>240</v>
      </c>
      <c r="O246" s="16" t="s">
        <v>239</v>
      </c>
      <c r="P246" s="16" t="s">
        <v>238</v>
      </c>
      <c r="Q246" s="54">
        <v>65231</v>
      </c>
      <c r="R246" s="13" t="s">
        <v>75</v>
      </c>
      <c r="S246" s="14">
        <v>0</v>
      </c>
      <c r="T246" s="14"/>
      <c r="U246" s="14"/>
      <c r="V246" s="14">
        <f>SUM(Matiere_premiere[[#This Row],[INVENTAIRE]],-Matiere_premiere[[#This Row],[Entrée]],-Matiere_premiere[[#This Row],[Sortis]])</f>
        <v>0</v>
      </c>
      <c r="W246" s="50" t="str">
        <f>CONCATENATE(Matiere_premiere[[#This Row],[CODE COLEUR]],"_",Matiere_premiere[[#This Row],[COULEUR]],"_",Matiere_premiere[[#This Row],[CODE FAB]],"_",Matiere_premiere[[#This Row],[Num de Lot]])</f>
        <v>C09_NOIR_NM15-09.00_65231</v>
      </c>
    </row>
    <row r="247" spans="1:23" ht="19.7" customHeight="1" thickBot="1" x14ac:dyDescent="0.3">
      <c r="A247" s="68"/>
      <c r="B247" s="71"/>
      <c r="C247" s="71"/>
      <c r="D247" s="74"/>
      <c r="E247" s="76"/>
      <c r="F247" s="78"/>
      <c r="G247" s="74"/>
      <c r="H247" s="76"/>
      <c r="I247" s="80"/>
      <c r="J247" s="11" t="str">
        <f>Matiere_premiere[[#This Row],[Entrepot]]</f>
        <v>E2</v>
      </c>
      <c r="K247" s="9" t="b">
        <f>IF(Matiere_premiere[[#This Row],[INVENTAIRE]]&gt;0,TRUE,FALSE)</f>
        <v>0</v>
      </c>
      <c r="L247" s="65"/>
      <c r="M247" s="16" t="s">
        <v>103</v>
      </c>
      <c r="N247" s="16" t="s">
        <v>240</v>
      </c>
      <c r="O247" s="16" t="s">
        <v>239</v>
      </c>
      <c r="P247" s="16" t="s">
        <v>238</v>
      </c>
      <c r="Q247" s="54">
        <v>65231</v>
      </c>
      <c r="R247" s="13" t="s">
        <v>74</v>
      </c>
      <c r="S247" s="14">
        <v>0</v>
      </c>
      <c r="T247" s="14"/>
      <c r="U247" s="14"/>
      <c r="V247" s="14">
        <f>SUM(Matiere_premiere[[#This Row],[INVENTAIRE]],-Matiere_premiere[[#This Row],[Entrée]],-Matiere_premiere[[#This Row],[Sortis]])</f>
        <v>0</v>
      </c>
      <c r="W247" s="50" t="str">
        <f>CONCATENATE(Matiere_premiere[[#This Row],[CODE COLEUR]],"_",Matiere_premiere[[#This Row],[COULEUR]],"_",Matiere_premiere[[#This Row],[CODE FAB]],"_",Matiere_premiere[[#This Row],[Num de Lot]])</f>
        <v>C09_NOIR_NM15-09.00_65231</v>
      </c>
    </row>
    <row r="248" spans="1:23" ht="19.7" customHeight="1" thickBot="1" x14ac:dyDescent="0.3">
      <c r="A248" s="68"/>
      <c r="B248" s="71"/>
      <c r="C248" s="71"/>
      <c r="D248" s="74"/>
      <c r="E248" s="76"/>
      <c r="F248" s="78"/>
      <c r="G248" s="74"/>
      <c r="H248" s="76"/>
      <c r="I248" s="80"/>
      <c r="J248" s="11" t="str">
        <f>Matiere_premiere[[#This Row],[Entrepot]]</f>
        <v>E3</v>
      </c>
      <c r="K248" s="9" t="b">
        <f>IF(Matiere_premiere[[#This Row],[INVENTAIRE]]&gt;0,TRUE,FALSE)</f>
        <v>0</v>
      </c>
      <c r="L248" s="65"/>
      <c r="M248" s="16" t="s">
        <v>103</v>
      </c>
      <c r="N248" s="16" t="s">
        <v>240</v>
      </c>
      <c r="O248" s="16" t="s">
        <v>239</v>
      </c>
      <c r="P248" s="16" t="s">
        <v>238</v>
      </c>
      <c r="Q248" s="54">
        <v>65231</v>
      </c>
      <c r="R248" s="13" t="s">
        <v>73</v>
      </c>
      <c r="S248" s="14">
        <v>0</v>
      </c>
      <c r="T248" s="14"/>
      <c r="U248" s="14"/>
      <c r="V248" s="14">
        <f>SUM(Matiere_premiere[[#This Row],[INVENTAIRE]],-Matiere_premiere[[#This Row],[Entrée]],-Matiere_premiere[[#This Row],[Sortis]])</f>
        <v>0</v>
      </c>
      <c r="W248" s="50" t="str">
        <f>CONCATENATE(Matiere_premiere[[#This Row],[CODE COLEUR]],"_",Matiere_premiere[[#This Row],[COULEUR]],"_",Matiere_premiere[[#This Row],[CODE FAB]],"_",Matiere_premiere[[#This Row],[Num de Lot]])</f>
        <v>C09_NOIR_NM15-09.00_65231</v>
      </c>
    </row>
    <row r="249" spans="1:23" ht="19.7" customHeight="1" thickBot="1" x14ac:dyDescent="0.3">
      <c r="A249" s="69"/>
      <c r="B249" s="72"/>
      <c r="C249" s="72"/>
      <c r="D249" s="75"/>
      <c r="E249" s="77"/>
      <c r="F249" s="79"/>
      <c r="G249" s="75"/>
      <c r="H249" s="77"/>
      <c r="I249" s="81"/>
      <c r="J249" s="10" t="str">
        <f>Matiere_premiere[[#This Row],[Entrepot]]</f>
        <v>Usine</v>
      </c>
      <c r="K249" s="9" t="b">
        <f>IF(Matiere_premiere[[#This Row],[INVENTAIRE]]&gt;0,TRUE,FALSE)</f>
        <v>0</v>
      </c>
      <c r="L249" s="66"/>
      <c r="M249" s="13" t="s">
        <v>103</v>
      </c>
      <c r="N249" s="13" t="s">
        <v>240</v>
      </c>
      <c r="O249" s="13" t="s">
        <v>239</v>
      </c>
      <c r="P249" s="13" t="s">
        <v>238</v>
      </c>
      <c r="Q249" s="55">
        <v>65231</v>
      </c>
      <c r="R249" s="13" t="s">
        <v>68</v>
      </c>
      <c r="S249" s="14">
        <v>0</v>
      </c>
      <c r="T249" s="14"/>
      <c r="U249" s="14"/>
      <c r="V249" s="14">
        <f>SUM(Matiere_premiere[[#This Row],[INVENTAIRE]],-Matiere_premiere[[#This Row],[Entrée]],-Matiere_premiere[[#This Row],[Sortis]])</f>
        <v>0</v>
      </c>
      <c r="W249" s="50" t="str">
        <f>CONCATENATE(Matiere_premiere[[#This Row],[CODE COLEUR]],"_",Matiere_premiere[[#This Row],[COULEUR]],"_",Matiere_premiere[[#This Row],[CODE FAB]],"_",Matiere_premiere[[#This Row],[Num de Lot]])</f>
        <v>C09_NOIR_NM15-09.00_65231</v>
      </c>
    </row>
    <row r="250" spans="1:23" ht="19.7" customHeight="1" thickTop="1" thickBot="1" x14ac:dyDescent="0.3">
      <c r="A250" s="67" t="str">
        <f>Matiere_premiere[[#This Row],[NUMERO METRIQUE]]</f>
        <v>NM15</v>
      </c>
      <c r="B250" s="70" t="str">
        <f>Matiere_premiere[[#This Row],[COULEUR]]</f>
        <v>BLEU MARINE</v>
      </c>
      <c r="C250" s="70" t="str">
        <f>Matiere_premiere[[#This Row],[CODE COLEUR]]</f>
        <v>C10</v>
      </c>
      <c r="D250" s="73" t="str">
        <f>Matiere_premiere[[#This Row],[CODE FAB]]</f>
        <v>NM15-10.00</v>
      </c>
      <c r="E250" s="76" t="e" vm="93">
        <f>_xlfn.IMAGE("https://api.qrserver.com/v1/create-qr-code/?size=100x100&amp;data=" &amp; D250)</f>
        <v>#VALUE!</v>
      </c>
      <c r="F250" s="78"/>
      <c r="G250" s="73">
        <f>Matiere_premiere[[#This Row],[Num de Lot]]</f>
        <v>61462</v>
      </c>
      <c r="H250" s="76" t="e" vm="94">
        <f>_xlfn.IMAGE("https://api.qrserver.com/v1/create-qr-code/?size=100x100&amp;data=" &amp; G250)</f>
        <v>#VALUE!</v>
      </c>
      <c r="I250" s="80"/>
      <c r="J250" s="12" t="str">
        <f>Matiere_premiere[[#This Row],[Entrepot]]</f>
        <v>E1</v>
      </c>
      <c r="K250" s="9" t="b">
        <f>IF(Matiere_premiere[[#This Row],[INVENTAIRE]]&gt;0,TRUE,FALSE)</f>
        <v>1</v>
      </c>
      <c r="L250" s="65"/>
      <c r="M250" s="8" t="s">
        <v>103</v>
      </c>
      <c r="N250" s="8" t="s">
        <v>237</v>
      </c>
      <c r="O250" s="8" t="s">
        <v>236</v>
      </c>
      <c r="P250" s="8" t="s">
        <v>235</v>
      </c>
      <c r="Q250" s="53">
        <v>61462</v>
      </c>
      <c r="R250" s="8" t="s">
        <v>75</v>
      </c>
      <c r="S250" s="7">
        <v>17.5</v>
      </c>
      <c r="T250" s="7"/>
      <c r="U250" s="7"/>
      <c r="V250" s="7">
        <f>SUM(Matiere_premiere[[#This Row],[INVENTAIRE]],-Matiere_premiere[[#This Row],[Entrée]],-Matiere_premiere[[#This Row],[Sortis]])</f>
        <v>17.5</v>
      </c>
      <c r="W250" s="50" t="str">
        <f>CONCATENATE(Matiere_premiere[[#This Row],[CODE COLEUR]],"_",Matiere_premiere[[#This Row],[COULEUR]],"_",Matiere_premiere[[#This Row],[CODE FAB]],"_",Matiere_premiere[[#This Row],[Num de Lot]])</f>
        <v>C10_BLEU MARINE_NM15-10.00_61462</v>
      </c>
    </row>
    <row r="251" spans="1:23" ht="19.7" customHeight="1" thickBot="1" x14ac:dyDescent="0.3">
      <c r="A251" s="68"/>
      <c r="B251" s="71"/>
      <c r="C251" s="71"/>
      <c r="D251" s="74"/>
      <c r="E251" s="76"/>
      <c r="F251" s="78"/>
      <c r="G251" s="74"/>
      <c r="H251" s="76"/>
      <c r="I251" s="80"/>
      <c r="J251" s="11" t="str">
        <f>Matiere_premiere[[#This Row],[Entrepot]]</f>
        <v>E2</v>
      </c>
      <c r="K251" s="9" t="b">
        <f>IF(Matiere_premiere[[#This Row],[INVENTAIRE]]&gt;0,TRUE,FALSE)</f>
        <v>0</v>
      </c>
      <c r="L251" s="65"/>
      <c r="M251" s="8" t="s">
        <v>103</v>
      </c>
      <c r="N251" s="8" t="s">
        <v>237</v>
      </c>
      <c r="O251" s="8" t="s">
        <v>236</v>
      </c>
      <c r="P251" s="8" t="s">
        <v>235</v>
      </c>
      <c r="Q251" s="53">
        <v>61462</v>
      </c>
      <c r="R251" s="8" t="s">
        <v>74</v>
      </c>
      <c r="S251" s="7">
        <v>0</v>
      </c>
      <c r="T251" s="7"/>
      <c r="U251" s="7"/>
      <c r="V251" s="7">
        <f>SUM(Matiere_premiere[[#This Row],[INVENTAIRE]],-Matiere_premiere[[#This Row],[Entrée]],-Matiere_premiere[[#This Row],[Sortis]])</f>
        <v>0</v>
      </c>
      <c r="W251" s="50" t="str">
        <f>CONCATENATE(Matiere_premiere[[#This Row],[CODE COLEUR]],"_",Matiere_premiere[[#This Row],[COULEUR]],"_",Matiere_premiere[[#This Row],[CODE FAB]],"_",Matiere_premiere[[#This Row],[Num de Lot]])</f>
        <v>C10_BLEU MARINE_NM15-10.00_61462</v>
      </c>
    </row>
    <row r="252" spans="1:23" ht="19.7" customHeight="1" thickBot="1" x14ac:dyDescent="0.3">
      <c r="A252" s="68"/>
      <c r="B252" s="71"/>
      <c r="C252" s="71"/>
      <c r="D252" s="74"/>
      <c r="E252" s="76"/>
      <c r="F252" s="78"/>
      <c r="G252" s="74"/>
      <c r="H252" s="76"/>
      <c r="I252" s="80"/>
      <c r="J252" s="11" t="str">
        <f>Matiere_premiere[[#This Row],[Entrepot]]</f>
        <v>E3</v>
      </c>
      <c r="K252" s="9" t="b">
        <f>IF(Matiere_premiere[[#This Row],[INVENTAIRE]]&gt;0,TRUE,FALSE)</f>
        <v>0</v>
      </c>
      <c r="L252" s="65"/>
      <c r="M252" s="8" t="s">
        <v>103</v>
      </c>
      <c r="N252" s="8" t="s">
        <v>237</v>
      </c>
      <c r="O252" s="8" t="s">
        <v>236</v>
      </c>
      <c r="P252" s="8" t="s">
        <v>235</v>
      </c>
      <c r="Q252" s="53">
        <v>61462</v>
      </c>
      <c r="R252" s="8" t="s">
        <v>73</v>
      </c>
      <c r="S252" s="7">
        <v>0</v>
      </c>
      <c r="T252" s="7"/>
      <c r="U252" s="7"/>
      <c r="V252" s="7">
        <f>SUM(Matiere_premiere[[#This Row],[INVENTAIRE]],-Matiere_premiere[[#This Row],[Entrée]],-Matiere_premiere[[#This Row],[Sortis]])</f>
        <v>0</v>
      </c>
      <c r="W252" s="50" t="str">
        <f>CONCATENATE(Matiere_premiere[[#This Row],[CODE COLEUR]],"_",Matiere_premiere[[#This Row],[COULEUR]],"_",Matiere_premiere[[#This Row],[CODE FAB]],"_",Matiere_premiere[[#This Row],[Num de Lot]])</f>
        <v>C10_BLEU MARINE_NM15-10.00_61462</v>
      </c>
    </row>
    <row r="253" spans="1:23" ht="19.7" customHeight="1" thickBot="1" x14ac:dyDescent="0.3">
      <c r="A253" s="69"/>
      <c r="B253" s="72"/>
      <c r="C253" s="72"/>
      <c r="D253" s="75"/>
      <c r="E253" s="77"/>
      <c r="F253" s="79"/>
      <c r="G253" s="75"/>
      <c r="H253" s="77"/>
      <c r="I253" s="81"/>
      <c r="J253" s="10" t="str">
        <f>Matiere_premiere[[#This Row],[Entrepot]]</f>
        <v>Usine</v>
      </c>
      <c r="K253" s="9" t="b">
        <f>IF(Matiere_premiere[[#This Row],[INVENTAIRE]]&gt;0,TRUE,FALSE)</f>
        <v>1</v>
      </c>
      <c r="L253" s="66"/>
      <c r="M253" s="8" t="s">
        <v>103</v>
      </c>
      <c r="N253" s="8" t="s">
        <v>237</v>
      </c>
      <c r="O253" s="8" t="s">
        <v>236</v>
      </c>
      <c r="P253" s="8" t="s">
        <v>235</v>
      </c>
      <c r="Q253" s="53">
        <v>61462</v>
      </c>
      <c r="R253" s="8" t="s">
        <v>68</v>
      </c>
      <c r="S253" s="7">
        <v>68.099999999999994</v>
      </c>
      <c r="T253" s="7"/>
      <c r="U253" s="7"/>
      <c r="V253" s="7">
        <f>SUM(Matiere_premiere[[#This Row],[INVENTAIRE]],-Matiere_premiere[[#This Row],[Entrée]],-Matiere_premiere[[#This Row],[Sortis]])</f>
        <v>68.099999999999994</v>
      </c>
      <c r="W253" s="50" t="str">
        <f>CONCATENATE(Matiere_premiere[[#This Row],[CODE COLEUR]],"_",Matiere_premiere[[#This Row],[COULEUR]],"_",Matiere_premiere[[#This Row],[CODE FAB]],"_",Matiere_premiere[[#This Row],[Num de Lot]])</f>
        <v>C10_BLEU MARINE_NM15-10.00_61462</v>
      </c>
    </row>
    <row r="254" spans="1:23" ht="19.7" customHeight="1" thickTop="1" thickBot="1" x14ac:dyDescent="0.3">
      <c r="A254" s="67" t="str">
        <f>Matiere_premiere[[#This Row],[NUMERO METRIQUE]]</f>
        <v>NM15</v>
      </c>
      <c r="B254" s="70" t="str">
        <f>Matiere_premiere[[#This Row],[COULEUR]]</f>
        <v>BLEU MARINE</v>
      </c>
      <c r="C254" s="70" t="str">
        <f>Matiere_premiere[[#This Row],[CODE COLEUR]]</f>
        <v>C10</v>
      </c>
      <c r="D254" s="73" t="str">
        <f>Matiere_premiere[[#This Row],[CODE FAB]]</f>
        <v>NM15-10.00</v>
      </c>
      <c r="E254" s="76" t="e" vm="93">
        <f>_xlfn.IMAGE("https://api.qrserver.com/v1/create-qr-code/?size=100x100&amp;data=" &amp; D254)</f>
        <v>#VALUE!</v>
      </c>
      <c r="F254" s="78"/>
      <c r="G254" s="73">
        <f>Matiere_premiere[[#This Row],[Num de Lot]]</f>
        <v>65322</v>
      </c>
      <c r="H254" s="76" t="e" vm="95">
        <f>_xlfn.IMAGE("https://api.qrserver.com/v1/create-qr-code/?size=100x100&amp;data=" &amp; G254)</f>
        <v>#VALUE!</v>
      </c>
      <c r="I254" s="80"/>
      <c r="J254" s="12" t="str">
        <f>Matiere_premiere[[#This Row],[Entrepot]]</f>
        <v>E1</v>
      </c>
      <c r="K254" s="9" t="b">
        <f>IF(Matiere_premiere[[#This Row],[INVENTAIRE]]&gt;0,TRUE,FALSE)</f>
        <v>0</v>
      </c>
      <c r="L254" s="65"/>
      <c r="M254" s="16" t="s">
        <v>103</v>
      </c>
      <c r="N254" s="16" t="s">
        <v>237</v>
      </c>
      <c r="O254" s="16" t="s">
        <v>236</v>
      </c>
      <c r="P254" s="16" t="s">
        <v>235</v>
      </c>
      <c r="Q254" s="54">
        <v>65322</v>
      </c>
      <c r="R254" s="13" t="s">
        <v>75</v>
      </c>
      <c r="S254" s="14">
        <v>0</v>
      </c>
      <c r="T254" s="14"/>
      <c r="U254" s="14"/>
      <c r="V254" s="14">
        <f>SUM(Matiere_premiere[[#This Row],[INVENTAIRE]],-Matiere_premiere[[#This Row],[Entrée]],-Matiere_premiere[[#This Row],[Sortis]])</f>
        <v>0</v>
      </c>
      <c r="W254" s="50" t="str">
        <f>CONCATENATE(Matiere_premiere[[#This Row],[CODE COLEUR]],"_",Matiere_premiere[[#This Row],[COULEUR]],"_",Matiere_premiere[[#This Row],[CODE FAB]],"_",Matiere_premiere[[#This Row],[Num de Lot]])</f>
        <v>C10_BLEU MARINE_NM15-10.00_65322</v>
      </c>
    </row>
    <row r="255" spans="1:23" ht="19.7" customHeight="1" thickBot="1" x14ac:dyDescent="0.3">
      <c r="A255" s="68"/>
      <c r="B255" s="71"/>
      <c r="C255" s="71"/>
      <c r="D255" s="74"/>
      <c r="E255" s="76"/>
      <c r="F255" s="78"/>
      <c r="G255" s="74"/>
      <c r="H255" s="76"/>
      <c r="I255" s="80"/>
      <c r="J255" s="11" t="str">
        <f>Matiere_premiere[[#This Row],[Entrepot]]</f>
        <v>E2</v>
      </c>
      <c r="K255" s="9" t="b">
        <f>IF(Matiere_premiere[[#This Row],[INVENTAIRE]]&gt;0,TRUE,FALSE)</f>
        <v>0</v>
      </c>
      <c r="L255" s="65"/>
      <c r="M255" s="16" t="s">
        <v>103</v>
      </c>
      <c r="N255" s="16" t="s">
        <v>237</v>
      </c>
      <c r="O255" s="16" t="s">
        <v>236</v>
      </c>
      <c r="P255" s="16" t="s">
        <v>235</v>
      </c>
      <c r="Q255" s="54">
        <v>65322</v>
      </c>
      <c r="R255" s="13" t="s">
        <v>74</v>
      </c>
      <c r="S255" s="14">
        <v>0</v>
      </c>
      <c r="T255" s="14"/>
      <c r="U255" s="14"/>
      <c r="V255" s="14">
        <f>SUM(Matiere_premiere[[#This Row],[INVENTAIRE]],-Matiere_premiere[[#This Row],[Entrée]],-Matiere_premiere[[#This Row],[Sortis]])</f>
        <v>0</v>
      </c>
      <c r="W255" s="50" t="str">
        <f>CONCATENATE(Matiere_premiere[[#This Row],[CODE COLEUR]],"_",Matiere_premiere[[#This Row],[COULEUR]],"_",Matiere_premiere[[#This Row],[CODE FAB]],"_",Matiere_premiere[[#This Row],[Num de Lot]])</f>
        <v>C10_BLEU MARINE_NM15-10.00_65322</v>
      </c>
    </row>
    <row r="256" spans="1:23" ht="19.7" customHeight="1" thickBot="1" x14ac:dyDescent="0.3">
      <c r="A256" s="68"/>
      <c r="B256" s="71"/>
      <c r="C256" s="71"/>
      <c r="D256" s="74"/>
      <c r="E256" s="76"/>
      <c r="F256" s="78"/>
      <c r="G256" s="74"/>
      <c r="H256" s="76"/>
      <c r="I256" s="80"/>
      <c r="J256" s="11" t="str">
        <f>Matiere_premiere[[#This Row],[Entrepot]]</f>
        <v>E3</v>
      </c>
      <c r="K256" s="9" t="b">
        <f>IF(Matiere_premiere[[#This Row],[INVENTAIRE]]&gt;0,TRUE,FALSE)</f>
        <v>0</v>
      </c>
      <c r="L256" s="65"/>
      <c r="M256" s="16" t="s">
        <v>103</v>
      </c>
      <c r="N256" s="16" t="s">
        <v>237</v>
      </c>
      <c r="O256" s="16" t="s">
        <v>236</v>
      </c>
      <c r="P256" s="16" t="s">
        <v>235</v>
      </c>
      <c r="Q256" s="54">
        <v>65322</v>
      </c>
      <c r="R256" s="13" t="s">
        <v>73</v>
      </c>
      <c r="S256" s="14">
        <v>0</v>
      </c>
      <c r="T256" s="14"/>
      <c r="U256" s="14"/>
      <c r="V256" s="14">
        <f>SUM(Matiere_premiere[[#This Row],[INVENTAIRE]],-Matiere_premiere[[#This Row],[Entrée]],-Matiere_premiere[[#This Row],[Sortis]])</f>
        <v>0</v>
      </c>
      <c r="W256" s="50" t="str">
        <f>CONCATENATE(Matiere_premiere[[#This Row],[CODE COLEUR]],"_",Matiere_premiere[[#This Row],[COULEUR]],"_",Matiere_premiere[[#This Row],[CODE FAB]],"_",Matiere_premiere[[#This Row],[Num de Lot]])</f>
        <v>C10_BLEU MARINE_NM15-10.00_65322</v>
      </c>
    </row>
    <row r="257" spans="1:23" ht="19.7" customHeight="1" thickBot="1" x14ac:dyDescent="0.3">
      <c r="A257" s="69"/>
      <c r="B257" s="72"/>
      <c r="C257" s="72"/>
      <c r="D257" s="75"/>
      <c r="E257" s="77"/>
      <c r="F257" s="79"/>
      <c r="G257" s="75"/>
      <c r="H257" s="77"/>
      <c r="I257" s="81"/>
      <c r="J257" s="10" t="str">
        <f>Matiere_premiere[[#This Row],[Entrepot]]</f>
        <v>Usine</v>
      </c>
      <c r="K257" s="9" t="b">
        <f>IF(Matiere_premiere[[#This Row],[INVENTAIRE]]&gt;0,TRUE,FALSE)</f>
        <v>0</v>
      </c>
      <c r="L257" s="66"/>
      <c r="M257" s="13" t="s">
        <v>103</v>
      </c>
      <c r="N257" s="13" t="s">
        <v>237</v>
      </c>
      <c r="O257" s="13" t="s">
        <v>236</v>
      </c>
      <c r="P257" s="13" t="s">
        <v>235</v>
      </c>
      <c r="Q257" s="55">
        <v>65322</v>
      </c>
      <c r="R257" s="13" t="s">
        <v>68</v>
      </c>
      <c r="S257" s="14">
        <v>0</v>
      </c>
      <c r="T257" s="14"/>
      <c r="U257" s="14"/>
      <c r="V257" s="14">
        <f>SUM(Matiere_premiere[[#This Row],[INVENTAIRE]],-Matiere_premiere[[#This Row],[Entrée]],-Matiere_premiere[[#This Row],[Sortis]])</f>
        <v>0</v>
      </c>
      <c r="W257" s="50" t="str">
        <f>CONCATENATE(Matiere_premiere[[#This Row],[CODE COLEUR]],"_",Matiere_premiere[[#This Row],[COULEUR]],"_",Matiere_premiere[[#This Row],[CODE FAB]],"_",Matiere_premiere[[#This Row],[Num de Lot]])</f>
        <v>C10_BLEU MARINE_NM15-10.00_65322</v>
      </c>
    </row>
    <row r="258" spans="1:23" ht="19.7" customHeight="1" thickTop="1" thickBot="1" x14ac:dyDescent="0.3">
      <c r="A258" s="67" t="str">
        <f>Matiere_premiere[[#This Row],[NUMERO METRIQUE]]</f>
        <v>NM15</v>
      </c>
      <c r="B258" s="70" t="str">
        <f>Matiere_premiere[[#This Row],[COULEUR]]</f>
        <v>BLEU GITANE</v>
      </c>
      <c r="C258" s="70" t="str">
        <f>Matiere_premiere[[#This Row],[CODE COLEUR]]</f>
        <v>C11</v>
      </c>
      <c r="D258" s="73" t="str">
        <f>Matiere_premiere[[#This Row],[CODE FAB]]</f>
        <v>NM15-11.00</v>
      </c>
      <c r="E258" s="76" t="e" vm="96">
        <f>_xlfn.IMAGE("https://api.qrserver.com/v1/create-qr-code/?size=100x100&amp;data=" &amp; D258)</f>
        <v>#VALUE!</v>
      </c>
      <c r="F258" s="78"/>
      <c r="G258" s="73">
        <f>Matiere_premiere[[#This Row],[Num de Lot]]</f>
        <v>61659</v>
      </c>
      <c r="H258" s="76" t="e" vm="97">
        <f>_xlfn.IMAGE("https://api.qrserver.com/v1/create-qr-code/?size=100x100&amp;data=" &amp; G258)</f>
        <v>#VALUE!</v>
      </c>
      <c r="I258" s="80"/>
      <c r="J258" s="12" t="str">
        <f>Matiere_premiere[[#This Row],[Entrepot]]</f>
        <v>E1</v>
      </c>
      <c r="K258" s="9" t="b">
        <f>IF(Matiere_premiere[[#This Row],[INVENTAIRE]]&gt;0,TRUE,FALSE)</f>
        <v>1</v>
      </c>
      <c r="L258" s="65"/>
      <c r="M258" s="8" t="s">
        <v>103</v>
      </c>
      <c r="N258" s="8" t="s">
        <v>233</v>
      </c>
      <c r="O258" s="8" t="s">
        <v>232</v>
      </c>
      <c r="P258" s="8" t="s">
        <v>234</v>
      </c>
      <c r="Q258" s="53">
        <v>61659</v>
      </c>
      <c r="R258" s="8" t="s">
        <v>75</v>
      </c>
      <c r="S258" s="7">
        <v>431</v>
      </c>
      <c r="T258" s="7"/>
      <c r="U258" s="7"/>
      <c r="V258" s="7">
        <f>SUM(Matiere_premiere[[#This Row],[INVENTAIRE]],-Matiere_premiere[[#This Row],[Entrée]],-Matiere_premiere[[#This Row],[Sortis]])</f>
        <v>431</v>
      </c>
      <c r="W258" s="50" t="str">
        <f>CONCATENATE(Matiere_premiere[[#This Row],[CODE COLEUR]],"_",Matiere_premiere[[#This Row],[COULEUR]],"_",Matiere_premiere[[#This Row],[CODE FAB]],"_",Matiere_premiere[[#This Row],[Num de Lot]])</f>
        <v>C11_BLEU GITANE_NM15-11.00_61659</v>
      </c>
    </row>
    <row r="259" spans="1:23" ht="19.7" customHeight="1" thickBot="1" x14ac:dyDescent="0.3">
      <c r="A259" s="68"/>
      <c r="B259" s="71"/>
      <c r="C259" s="71"/>
      <c r="D259" s="74"/>
      <c r="E259" s="76"/>
      <c r="F259" s="78"/>
      <c r="G259" s="74"/>
      <c r="H259" s="76"/>
      <c r="I259" s="80"/>
      <c r="J259" s="11" t="str">
        <f>Matiere_premiere[[#This Row],[Entrepot]]</f>
        <v>E2</v>
      </c>
      <c r="K259" s="9" t="b">
        <f>IF(Matiere_premiere[[#This Row],[INVENTAIRE]]&gt;0,TRUE,FALSE)</f>
        <v>0</v>
      </c>
      <c r="L259" s="65"/>
      <c r="M259" s="8" t="s">
        <v>103</v>
      </c>
      <c r="N259" s="8" t="s">
        <v>233</v>
      </c>
      <c r="O259" s="8" t="s">
        <v>232</v>
      </c>
      <c r="P259" s="8" t="s">
        <v>234</v>
      </c>
      <c r="Q259" s="53">
        <v>61659</v>
      </c>
      <c r="R259" s="8" t="s">
        <v>74</v>
      </c>
      <c r="S259" s="7">
        <v>0</v>
      </c>
      <c r="T259" s="7"/>
      <c r="U259" s="7"/>
      <c r="V259" s="7">
        <f>SUM(Matiere_premiere[[#This Row],[INVENTAIRE]],-Matiere_premiere[[#This Row],[Entrée]],-Matiere_premiere[[#This Row],[Sortis]])</f>
        <v>0</v>
      </c>
      <c r="W259" s="50" t="str">
        <f>CONCATENATE(Matiere_premiere[[#This Row],[CODE COLEUR]],"_",Matiere_premiere[[#This Row],[COULEUR]],"_",Matiere_premiere[[#This Row],[CODE FAB]],"_",Matiere_premiere[[#This Row],[Num de Lot]])</f>
        <v>C11_BLEU GITANE_NM15-11.00_61659</v>
      </c>
    </row>
    <row r="260" spans="1:23" ht="19.7" customHeight="1" thickBot="1" x14ac:dyDescent="0.3">
      <c r="A260" s="68"/>
      <c r="B260" s="71"/>
      <c r="C260" s="71"/>
      <c r="D260" s="74"/>
      <c r="E260" s="76"/>
      <c r="F260" s="78"/>
      <c r="G260" s="74"/>
      <c r="H260" s="76"/>
      <c r="I260" s="80"/>
      <c r="J260" s="11" t="str">
        <f>Matiere_premiere[[#This Row],[Entrepot]]</f>
        <v>E3</v>
      </c>
      <c r="K260" s="9" t="b">
        <f>IF(Matiere_premiere[[#This Row],[INVENTAIRE]]&gt;0,TRUE,FALSE)</f>
        <v>0</v>
      </c>
      <c r="L260" s="65"/>
      <c r="M260" s="8" t="s">
        <v>103</v>
      </c>
      <c r="N260" s="8" t="s">
        <v>233</v>
      </c>
      <c r="O260" s="8" t="s">
        <v>232</v>
      </c>
      <c r="P260" s="8" t="s">
        <v>234</v>
      </c>
      <c r="Q260" s="53">
        <v>61659</v>
      </c>
      <c r="R260" s="8" t="s">
        <v>73</v>
      </c>
      <c r="S260" s="7">
        <v>0</v>
      </c>
      <c r="T260" s="7"/>
      <c r="U260" s="7"/>
      <c r="V260" s="7">
        <f>SUM(Matiere_premiere[[#This Row],[INVENTAIRE]],-Matiere_premiere[[#This Row],[Entrée]],-Matiere_premiere[[#This Row],[Sortis]])</f>
        <v>0</v>
      </c>
      <c r="W260" s="50" t="str">
        <f>CONCATENATE(Matiere_premiere[[#This Row],[CODE COLEUR]],"_",Matiere_premiere[[#This Row],[COULEUR]],"_",Matiere_premiere[[#This Row],[CODE FAB]],"_",Matiere_premiere[[#This Row],[Num de Lot]])</f>
        <v>C11_BLEU GITANE_NM15-11.00_61659</v>
      </c>
    </row>
    <row r="261" spans="1:23" ht="19.7" customHeight="1" thickBot="1" x14ac:dyDescent="0.3">
      <c r="A261" s="69"/>
      <c r="B261" s="72"/>
      <c r="C261" s="72"/>
      <c r="D261" s="75"/>
      <c r="E261" s="77"/>
      <c r="F261" s="79"/>
      <c r="G261" s="75"/>
      <c r="H261" s="77"/>
      <c r="I261" s="81"/>
      <c r="J261" s="10" t="str">
        <f>Matiere_premiere[[#This Row],[Entrepot]]</f>
        <v>Usine</v>
      </c>
      <c r="K261" s="9" t="b">
        <f>IF(Matiere_premiere[[#This Row],[INVENTAIRE]]&gt;0,TRUE,FALSE)</f>
        <v>1</v>
      </c>
      <c r="L261" s="66"/>
      <c r="M261" s="8" t="s">
        <v>103</v>
      </c>
      <c r="N261" s="8" t="s">
        <v>233</v>
      </c>
      <c r="O261" s="8" t="s">
        <v>232</v>
      </c>
      <c r="P261" s="8" t="s">
        <v>234</v>
      </c>
      <c r="Q261" s="53">
        <v>61659</v>
      </c>
      <c r="R261" s="8" t="s">
        <v>68</v>
      </c>
      <c r="S261" s="7">
        <v>319</v>
      </c>
      <c r="T261" s="7"/>
      <c r="U261" s="7"/>
      <c r="V261" s="7">
        <f>SUM(Matiere_premiere[[#This Row],[INVENTAIRE]],-Matiere_premiere[[#This Row],[Entrée]],-Matiere_premiere[[#This Row],[Sortis]])</f>
        <v>319</v>
      </c>
      <c r="W261" s="50" t="str">
        <f>CONCATENATE(Matiere_premiere[[#This Row],[CODE COLEUR]],"_",Matiere_premiere[[#This Row],[COULEUR]],"_",Matiere_premiere[[#This Row],[CODE FAB]],"_",Matiere_premiere[[#This Row],[Num de Lot]])</f>
        <v>C11_BLEU GITANE_NM15-11.00_61659</v>
      </c>
    </row>
    <row r="262" spans="1:23" ht="19.7" customHeight="1" thickTop="1" thickBot="1" x14ac:dyDescent="0.3">
      <c r="A262" s="67" t="str">
        <f>Matiere_premiere[[#This Row],[NUMERO METRIQUE]]</f>
        <v>NM15</v>
      </c>
      <c r="B262" s="70" t="str">
        <f>Matiere_premiere[[#This Row],[COULEUR]]</f>
        <v>BLEU GITANE</v>
      </c>
      <c r="C262" s="70" t="str">
        <f>Matiere_premiere[[#This Row],[CODE COLEUR]]</f>
        <v>C11</v>
      </c>
      <c r="D262" s="73" t="str">
        <f>Matiere_premiere[[#This Row],[CODE FAB]]</f>
        <v>NM15-11.01</v>
      </c>
      <c r="E262" s="76" t="e" vm="98">
        <f>_xlfn.IMAGE("https://api.qrserver.com/v1/create-qr-code/?size=100x100&amp;data=" &amp; D262)</f>
        <v>#VALUE!</v>
      </c>
      <c r="F262" s="78"/>
      <c r="G262" s="73">
        <f>Matiere_premiere[[#This Row],[Num de Lot]]</f>
        <v>54771</v>
      </c>
      <c r="H262" s="76" t="e" vm="99">
        <f>_xlfn.IMAGE("https://api.qrserver.com/v1/create-qr-code/?size=100x100&amp;data=" &amp; G262)</f>
        <v>#VALUE!</v>
      </c>
      <c r="I262" s="80"/>
      <c r="J262" s="12" t="str">
        <f>Matiere_premiere[[#This Row],[Entrepot]]</f>
        <v>E1</v>
      </c>
      <c r="K262" s="9" t="b">
        <f>IF(Matiere_premiere[[#This Row],[INVENTAIRE]]&gt;0,TRUE,FALSE)</f>
        <v>0</v>
      </c>
      <c r="L262" s="65"/>
      <c r="M262" s="13" t="s">
        <v>103</v>
      </c>
      <c r="N262" s="13" t="s">
        <v>233</v>
      </c>
      <c r="O262" s="13" t="s">
        <v>232</v>
      </c>
      <c r="P262" s="13" t="s">
        <v>231</v>
      </c>
      <c r="Q262" s="55">
        <v>54771</v>
      </c>
      <c r="R262" s="13" t="s">
        <v>75</v>
      </c>
      <c r="S262" s="14">
        <v>0</v>
      </c>
      <c r="T262" s="14"/>
      <c r="U262" s="14"/>
      <c r="V262" s="14">
        <f>SUM(Matiere_premiere[[#This Row],[INVENTAIRE]],-Matiere_premiere[[#This Row],[Entrée]],-Matiere_premiere[[#This Row],[Sortis]])</f>
        <v>0</v>
      </c>
      <c r="W262" s="50" t="str">
        <f>CONCATENATE(Matiere_premiere[[#This Row],[CODE COLEUR]],"_",Matiere_premiere[[#This Row],[COULEUR]],"_",Matiere_premiere[[#This Row],[CODE FAB]],"_",Matiere_premiere[[#This Row],[Num de Lot]])</f>
        <v>C11_BLEU GITANE_NM15-11.01_54771</v>
      </c>
    </row>
    <row r="263" spans="1:23" ht="19.7" customHeight="1" thickBot="1" x14ac:dyDescent="0.3">
      <c r="A263" s="68"/>
      <c r="B263" s="71"/>
      <c r="C263" s="71"/>
      <c r="D263" s="74"/>
      <c r="E263" s="76"/>
      <c r="F263" s="78"/>
      <c r="G263" s="74"/>
      <c r="H263" s="76"/>
      <c r="I263" s="80"/>
      <c r="J263" s="11" t="str">
        <f>Matiere_premiere[[#This Row],[Entrepot]]</f>
        <v>E2</v>
      </c>
      <c r="K263" s="9" t="b">
        <f>IF(Matiere_premiere[[#This Row],[INVENTAIRE]]&gt;0,TRUE,FALSE)</f>
        <v>0</v>
      </c>
      <c r="L263" s="65"/>
      <c r="M263" s="13" t="s">
        <v>103</v>
      </c>
      <c r="N263" s="13" t="s">
        <v>233</v>
      </c>
      <c r="O263" s="13" t="s">
        <v>232</v>
      </c>
      <c r="P263" s="13" t="s">
        <v>231</v>
      </c>
      <c r="Q263" s="55">
        <v>54771</v>
      </c>
      <c r="R263" s="13" t="s">
        <v>74</v>
      </c>
      <c r="S263" s="14">
        <v>0</v>
      </c>
      <c r="T263" s="14"/>
      <c r="U263" s="14"/>
      <c r="V263" s="14">
        <f>SUM(Matiere_premiere[[#This Row],[INVENTAIRE]],-Matiere_premiere[[#This Row],[Entrée]],-Matiere_premiere[[#This Row],[Sortis]])</f>
        <v>0</v>
      </c>
      <c r="W263" s="50" t="str">
        <f>CONCATENATE(Matiere_premiere[[#This Row],[CODE COLEUR]],"_",Matiere_premiere[[#This Row],[COULEUR]],"_",Matiere_premiere[[#This Row],[CODE FAB]],"_",Matiere_premiere[[#This Row],[Num de Lot]])</f>
        <v>C11_BLEU GITANE_NM15-11.01_54771</v>
      </c>
    </row>
    <row r="264" spans="1:23" ht="19.7" customHeight="1" thickBot="1" x14ac:dyDescent="0.3">
      <c r="A264" s="68"/>
      <c r="B264" s="71"/>
      <c r="C264" s="71"/>
      <c r="D264" s="74"/>
      <c r="E264" s="76"/>
      <c r="F264" s="78"/>
      <c r="G264" s="74"/>
      <c r="H264" s="76"/>
      <c r="I264" s="80"/>
      <c r="J264" s="11" t="str">
        <f>Matiere_premiere[[#This Row],[Entrepot]]</f>
        <v>E3</v>
      </c>
      <c r="K264" s="9" t="b">
        <f>IF(Matiere_premiere[[#This Row],[INVENTAIRE]]&gt;0,TRUE,FALSE)</f>
        <v>1</v>
      </c>
      <c r="L264" s="65"/>
      <c r="M264" s="13" t="s">
        <v>103</v>
      </c>
      <c r="N264" s="13" t="s">
        <v>233</v>
      </c>
      <c r="O264" s="13" t="s">
        <v>232</v>
      </c>
      <c r="P264" s="13" t="s">
        <v>231</v>
      </c>
      <c r="Q264" s="55">
        <v>54771</v>
      </c>
      <c r="R264" s="13" t="s">
        <v>73</v>
      </c>
      <c r="S264" s="14">
        <v>206.5</v>
      </c>
      <c r="T264" s="14"/>
      <c r="U264" s="14"/>
      <c r="V264" s="14">
        <f>SUM(Matiere_premiere[[#This Row],[INVENTAIRE]],-Matiere_premiere[[#This Row],[Entrée]],-Matiere_premiere[[#This Row],[Sortis]])</f>
        <v>206.5</v>
      </c>
      <c r="W264" s="50" t="str">
        <f>CONCATENATE(Matiere_premiere[[#This Row],[CODE COLEUR]],"_",Matiere_premiere[[#This Row],[COULEUR]],"_",Matiere_premiere[[#This Row],[CODE FAB]],"_",Matiere_premiere[[#This Row],[Num de Lot]])</f>
        <v>C11_BLEU GITANE_NM15-11.01_54771</v>
      </c>
    </row>
    <row r="265" spans="1:23" ht="19.7" customHeight="1" thickBot="1" x14ac:dyDescent="0.3">
      <c r="A265" s="69"/>
      <c r="B265" s="72"/>
      <c r="C265" s="72"/>
      <c r="D265" s="75"/>
      <c r="E265" s="77"/>
      <c r="F265" s="79"/>
      <c r="G265" s="75"/>
      <c r="H265" s="77"/>
      <c r="I265" s="81"/>
      <c r="J265" s="10" t="str">
        <f>Matiere_premiere[[#This Row],[Entrepot]]</f>
        <v>Usine</v>
      </c>
      <c r="K265" s="9" t="b">
        <f>IF(Matiere_premiere[[#This Row],[INVENTAIRE]]&gt;0,TRUE,FALSE)</f>
        <v>0</v>
      </c>
      <c r="L265" s="66"/>
      <c r="M265" s="13" t="s">
        <v>103</v>
      </c>
      <c r="N265" s="13" t="s">
        <v>233</v>
      </c>
      <c r="O265" s="13" t="s">
        <v>232</v>
      </c>
      <c r="P265" s="13" t="s">
        <v>231</v>
      </c>
      <c r="Q265" s="55">
        <v>54771</v>
      </c>
      <c r="R265" s="13" t="s">
        <v>68</v>
      </c>
      <c r="S265" s="14">
        <v>0</v>
      </c>
      <c r="T265" s="14"/>
      <c r="U265" s="14"/>
      <c r="V265" s="14">
        <f>SUM(Matiere_premiere[[#This Row],[INVENTAIRE]],-Matiere_premiere[[#This Row],[Entrée]],-Matiere_premiere[[#This Row],[Sortis]])</f>
        <v>0</v>
      </c>
      <c r="W265" s="50" t="str">
        <f>CONCATENATE(Matiere_premiere[[#This Row],[CODE COLEUR]],"_",Matiere_premiere[[#This Row],[COULEUR]],"_",Matiere_premiere[[#This Row],[CODE FAB]],"_",Matiere_premiere[[#This Row],[Num de Lot]])</f>
        <v>C11_BLEU GITANE_NM15-11.01_54771</v>
      </c>
    </row>
    <row r="266" spans="1:23" ht="19.7" customHeight="1" thickTop="1" thickBot="1" x14ac:dyDescent="0.3">
      <c r="A266" s="67" t="str">
        <f>Matiere_premiere[[#This Row],[NUMERO METRIQUE]]</f>
        <v>NM05</v>
      </c>
      <c r="B266" s="70" t="str">
        <f>Matiere_premiere[[#This Row],[COULEUR]]</f>
        <v>BLEU JEANS</v>
      </c>
      <c r="C266" s="70" t="str">
        <f>Matiere_premiere[[#This Row],[CODE COLEUR]]</f>
        <v>C12</v>
      </c>
      <c r="D266" s="73" t="str">
        <f>Matiere_premiere[[#This Row],[CODE FAB]]</f>
        <v>NM05-12.00</v>
      </c>
      <c r="E266" s="76" t="e" vm="100">
        <f>_xlfn.IMAGE("https://api.qrserver.com/v1/create-qr-code/?size=100x100&amp;data=" &amp; D266)</f>
        <v>#VALUE!</v>
      </c>
      <c r="F266" s="78"/>
      <c r="G266" s="73" t="str">
        <f>Matiere_premiere[[#This Row],[Num de Lot]]</f>
        <v>S2023</v>
      </c>
      <c r="H266" s="76" t="e" vm="2">
        <f>_xlfn.IMAGE("https://api.qrserver.com/v1/create-qr-code/?size=100x100&amp;data=" &amp; G266)</f>
        <v>#VALUE!</v>
      </c>
      <c r="I266" s="80"/>
      <c r="J266" s="12" t="str">
        <f>Matiere_premiere[[#This Row],[Entrepot]]</f>
        <v>E1</v>
      </c>
      <c r="K266" s="9" t="b">
        <f>IF(Matiere_premiere[[#This Row],[INVENTAIRE]]&gt;0,TRUE,FALSE)</f>
        <v>0</v>
      </c>
      <c r="L266" s="65"/>
      <c r="M266" s="8" t="s">
        <v>119</v>
      </c>
      <c r="N266" s="8" t="s">
        <v>224</v>
      </c>
      <c r="O266" s="8" t="s">
        <v>221</v>
      </c>
      <c r="P266" s="8" t="s">
        <v>230</v>
      </c>
      <c r="Q266" s="53" t="s">
        <v>69</v>
      </c>
      <c r="R266" s="8" t="s">
        <v>75</v>
      </c>
      <c r="S266" s="7">
        <v>0</v>
      </c>
      <c r="T266" s="7"/>
      <c r="U266" s="7"/>
      <c r="V266" s="7">
        <f>SUM(Matiere_premiere[[#This Row],[INVENTAIRE]],-Matiere_premiere[[#This Row],[Entrée]],-Matiere_premiere[[#This Row],[Sortis]])</f>
        <v>0</v>
      </c>
      <c r="W266" s="50" t="str">
        <f>CONCATENATE(Matiere_premiere[[#This Row],[CODE COLEUR]],"_",Matiere_premiere[[#This Row],[COULEUR]],"_",Matiere_premiere[[#This Row],[CODE FAB]],"_",Matiere_premiere[[#This Row],[Num de Lot]])</f>
        <v>C12_BLEU JEANS_NM05-12.00_S2023</v>
      </c>
    </row>
    <row r="267" spans="1:23" ht="19.7" customHeight="1" thickBot="1" x14ac:dyDescent="0.3">
      <c r="A267" s="68"/>
      <c r="B267" s="71"/>
      <c r="C267" s="71"/>
      <c r="D267" s="74"/>
      <c r="E267" s="76"/>
      <c r="F267" s="78"/>
      <c r="G267" s="74"/>
      <c r="H267" s="76"/>
      <c r="I267" s="80"/>
      <c r="J267" s="11" t="str">
        <f>Matiere_premiere[[#This Row],[Entrepot]]</f>
        <v>E2</v>
      </c>
      <c r="K267" s="9" t="b">
        <f>IF(Matiere_premiere[[#This Row],[INVENTAIRE]]&gt;0,TRUE,FALSE)</f>
        <v>0</v>
      </c>
      <c r="L267" s="65"/>
      <c r="M267" s="8" t="s">
        <v>119</v>
      </c>
      <c r="N267" s="8" t="s">
        <v>224</v>
      </c>
      <c r="O267" s="8" t="s">
        <v>221</v>
      </c>
      <c r="P267" s="8" t="s">
        <v>230</v>
      </c>
      <c r="Q267" s="53" t="s">
        <v>69</v>
      </c>
      <c r="R267" s="8" t="s">
        <v>74</v>
      </c>
      <c r="S267" s="7">
        <v>0</v>
      </c>
      <c r="T267" s="7"/>
      <c r="U267" s="7"/>
      <c r="V267" s="7">
        <f>SUM(Matiere_premiere[[#This Row],[INVENTAIRE]],-Matiere_premiere[[#This Row],[Entrée]],-Matiere_premiere[[#This Row],[Sortis]])</f>
        <v>0</v>
      </c>
      <c r="W267" s="50" t="str">
        <f>CONCATENATE(Matiere_premiere[[#This Row],[CODE COLEUR]],"_",Matiere_premiere[[#This Row],[COULEUR]],"_",Matiere_premiere[[#This Row],[CODE FAB]],"_",Matiere_premiere[[#This Row],[Num de Lot]])</f>
        <v>C12_BLEU JEANS_NM05-12.00_S2023</v>
      </c>
    </row>
    <row r="268" spans="1:23" ht="19.7" customHeight="1" thickBot="1" x14ac:dyDescent="0.3">
      <c r="A268" s="68"/>
      <c r="B268" s="71"/>
      <c r="C268" s="71"/>
      <c r="D268" s="74"/>
      <c r="E268" s="76"/>
      <c r="F268" s="78"/>
      <c r="G268" s="74"/>
      <c r="H268" s="76"/>
      <c r="I268" s="80"/>
      <c r="J268" s="11" t="str">
        <f>Matiere_premiere[[#This Row],[Entrepot]]</f>
        <v>E3</v>
      </c>
      <c r="K268" s="9" t="b">
        <f>IF(Matiere_premiere[[#This Row],[INVENTAIRE]]&gt;0,TRUE,FALSE)</f>
        <v>0</v>
      </c>
      <c r="L268" s="65"/>
      <c r="M268" s="8" t="s">
        <v>119</v>
      </c>
      <c r="N268" s="8" t="s">
        <v>224</v>
      </c>
      <c r="O268" s="8" t="s">
        <v>221</v>
      </c>
      <c r="P268" s="8" t="s">
        <v>230</v>
      </c>
      <c r="Q268" s="53" t="s">
        <v>69</v>
      </c>
      <c r="R268" s="8" t="s">
        <v>73</v>
      </c>
      <c r="S268" s="7">
        <v>0</v>
      </c>
      <c r="T268" s="7"/>
      <c r="U268" s="7"/>
      <c r="V268" s="7">
        <f>SUM(Matiere_premiere[[#This Row],[INVENTAIRE]],-Matiere_premiere[[#This Row],[Entrée]],-Matiere_premiere[[#This Row],[Sortis]])</f>
        <v>0</v>
      </c>
      <c r="W268" s="50" t="str">
        <f>CONCATENATE(Matiere_premiere[[#This Row],[CODE COLEUR]],"_",Matiere_premiere[[#This Row],[COULEUR]],"_",Matiere_premiere[[#This Row],[CODE FAB]],"_",Matiere_premiere[[#This Row],[Num de Lot]])</f>
        <v>C12_BLEU JEANS_NM05-12.00_S2023</v>
      </c>
    </row>
    <row r="269" spans="1:23" ht="19.7" customHeight="1" thickBot="1" x14ac:dyDescent="0.3">
      <c r="A269" s="69"/>
      <c r="B269" s="72"/>
      <c r="C269" s="72"/>
      <c r="D269" s="75"/>
      <c r="E269" s="77"/>
      <c r="F269" s="79"/>
      <c r="G269" s="75"/>
      <c r="H269" s="77"/>
      <c r="I269" s="81"/>
      <c r="J269" s="10" t="str">
        <f>Matiere_premiere[[#This Row],[Entrepot]]</f>
        <v>Usine</v>
      </c>
      <c r="K269" s="9" t="b">
        <f>IF(Matiere_premiere[[#This Row],[INVENTAIRE]]&gt;0,TRUE,FALSE)</f>
        <v>1</v>
      </c>
      <c r="L269" s="66"/>
      <c r="M269" s="8" t="s">
        <v>119</v>
      </c>
      <c r="N269" s="8" t="s">
        <v>224</v>
      </c>
      <c r="O269" s="8" t="s">
        <v>221</v>
      </c>
      <c r="P269" s="8" t="s">
        <v>230</v>
      </c>
      <c r="Q269" s="53" t="s">
        <v>69</v>
      </c>
      <c r="R269" s="8" t="s">
        <v>68</v>
      </c>
      <c r="S269" s="7">
        <v>3.4</v>
      </c>
      <c r="T269" s="7"/>
      <c r="U269" s="7"/>
      <c r="V269" s="7">
        <f>SUM(Matiere_premiere[[#This Row],[INVENTAIRE]],-Matiere_premiere[[#This Row],[Entrée]],-Matiere_premiere[[#This Row],[Sortis]])</f>
        <v>3.4</v>
      </c>
      <c r="W269" s="50" t="str">
        <f>CONCATENATE(Matiere_premiere[[#This Row],[CODE COLEUR]],"_",Matiere_premiere[[#This Row],[COULEUR]],"_",Matiere_premiere[[#This Row],[CODE FAB]],"_",Matiere_premiere[[#This Row],[Num de Lot]])</f>
        <v>C12_BLEU JEANS_NM05-12.00_S2023</v>
      </c>
    </row>
    <row r="270" spans="1:23" ht="19.7" customHeight="1" thickTop="1" thickBot="1" x14ac:dyDescent="0.3">
      <c r="A270" s="67" t="str">
        <f>Matiere_premiere[[#This Row],[NUMERO METRIQUE]]</f>
        <v>NM12/2</v>
      </c>
      <c r="B270" s="70" t="str">
        <f>Matiere_premiere[[#This Row],[COULEUR]]</f>
        <v>BLEU JEANS</v>
      </c>
      <c r="C270" s="70" t="str">
        <f>Matiere_premiere[[#This Row],[CODE COLEUR]]</f>
        <v>C12</v>
      </c>
      <c r="D270" s="73" t="str">
        <f>Matiere_premiere[[#This Row],[CODE FAB]]</f>
        <v>NM12.2-12.00</v>
      </c>
      <c r="E270" s="76" t="e" vm="101">
        <f>_xlfn.IMAGE("https://api.qrserver.com/v1/create-qr-code/?size=100x100&amp;data=" &amp; D270)</f>
        <v>#VALUE!</v>
      </c>
      <c r="F270" s="78"/>
      <c r="G270" s="73" t="str">
        <f>Matiere_premiere[[#This Row],[Num de Lot]]</f>
        <v>S2023</v>
      </c>
      <c r="H270" s="76" t="e" vm="2">
        <f>_xlfn.IMAGE("https://api.qrserver.com/v1/create-qr-code/?size=100x100&amp;data=" &amp; G270)</f>
        <v>#VALUE!</v>
      </c>
      <c r="I270" s="80"/>
      <c r="J270" s="12" t="str">
        <f>Matiere_premiere[[#This Row],[Entrepot]]</f>
        <v>E1</v>
      </c>
      <c r="K270" s="9" t="b">
        <f>IF(Matiere_premiere[[#This Row],[INVENTAIRE]]&gt;0,TRUE,FALSE)</f>
        <v>0</v>
      </c>
      <c r="L270" s="65"/>
      <c r="M270" s="13" t="s">
        <v>229</v>
      </c>
      <c r="N270" s="13" t="s">
        <v>224</v>
      </c>
      <c r="O270" s="13" t="s">
        <v>221</v>
      </c>
      <c r="P270" s="13" t="s">
        <v>228</v>
      </c>
      <c r="Q270" s="55" t="s">
        <v>69</v>
      </c>
      <c r="R270" s="13" t="s">
        <v>75</v>
      </c>
      <c r="S270" s="14">
        <v>0</v>
      </c>
      <c r="T270" s="14"/>
      <c r="U270" s="14"/>
      <c r="V270" s="14">
        <f>SUM(Matiere_premiere[[#This Row],[INVENTAIRE]],-Matiere_premiere[[#This Row],[Entrée]],-Matiere_premiere[[#This Row],[Sortis]])</f>
        <v>0</v>
      </c>
      <c r="W270" s="50" t="str">
        <f>CONCATENATE(Matiere_premiere[[#This Row],[CODE COLEUR]],"_",Matiere_premiere[[#This Row],[COULEUR]],"_",Matiere_premiere[[#This Row],[CODE FAB]],"_",Matiere_premiere[[#This Row],[Num de Lot]])</f>
        <v>C12_BLEU JEANS_NM12.2-12.00_S2023</v>
      </c>
    </row>
    <row r="271" spans="1:23" ht="19.7" customHeight="1" thickBot="1" x14ac:dyDescent="0.3">
      <c r="A271" s="68"/>
      <c r="B271" s="71"/>
      <c r="C271" s="71"/>
      <c r="D271" s="74"/>
      <c r="E271" s="76"/>
      <c r="F271" s="78"/>
      <c r="G271" s="74"/>
      <c r="H271" s="76"/>
      <c r="I271" s="80"/>
      <c r="J271" s="11" t="str">
        <f>Matiere_premiere[[#This Row],[Entrepot]]</f>
        <v>E2</v>
      </c>
      <c r="K271" s="9" t="b">
        <f>IF(Matiere_premiere[[#This Row],[INVENTAIRE]]&gt;0,TRUE,FALSE)</f>
        <v>0</v>
      </c>
      <c r="L271" s="65"/>
      <c r="M271" s="13" t="s">
        <v>229</v>
      </c>
      <c r="N271" s="13" t="s">
        <v>224</v>
      </c>
      <c r="O271" s="13" t="s">
        <v>221</v>
      </c>
      <c r="P271" s="13" t="s">
        <v>228</v>
      </c>
      <c r="Q271" s="55" t="s">
        <v>69</v>
      </c>
      <c r="R271" s="13" t="s">
        <v>74</v>
      </c>
      <c r="S271" s="14">
        <v>0</v>
      </c>
      <c r="T271" s="14"/>
      <c r="U271" s="14"/>
      <c r="V271" s="14">
        <f>SUM(Matiere_premiere[[#This Row],[INVENTAIRE]],-Matiere_premiere[[#This Row],[Entrée]],-Matiere_premiere[[#This Row],[Sortis]])</f>
        <v>0</v>
      </c>
      <c r="W271" s="50" t="str">
        <f>CONCATENATE(Matiere_premiere[[#This Row],[CODE COLEUR]],"_",Matiere_premiere[[#This Row],[COULEUR]],"_",Matiere_premiere[[#This Row],[CODE FAB]],"_",Matiere_premiere[[#This Row],[Num de Lot]])</f>
        <v>C12_BLEU JEANS_NM12.2-12.00_S2023</v>
      </c>
    </row>
    <row r="272" spans="1:23" ht="19.7" customHeight="1" thickBot="1" x14ac:dyDescent="0.3">
      <c r="A272" s="68"/>
      <c r="B272" s="71"/>
      <c r="C272" s="71"/>
      <c r="D272" s="74"/>
      <c r="E272" s="76"/>
      <c r="F272" s="78"/>
      <c r="G272" s="74"/>
      <c r="H272" s="76"/>
      <c r="I272" s="80"/>
      <c r="J272" s="11" t="str">
        <f>Matiere_premiere[[#This Row],[Entrepot]]</f>
        <v>E3</v>
      </c>
      <c r="K272" s="9" t="b">
        <f>IF(Matiere_premiere[[#This Row],[INVENTAIRE]]&gt;0,TRUE,FALSE)</f>
        <v>1</v>
      </c>
      <c r="L272" s="65"/>
      <c r="M272" s="13" t="s">
        <v>229</v>
      </c>
      <c r="N272" s="13" t="s">
        <v>224</v>
      </c>
      <c r="O272" s="13" t="s">
        <v>221</v>
      </c>
      <c r="P272" s="13" t="s">
        <v>228</v>
      </c>
      <c r="Q272" s="55" t="s">
        <v>69</v>
      </c>
      <c r="R272" s="13" t="s">
        <v>73</v>
      </c>
      <c r="S272" s="14">
        <v>7</v>
      </c>
      <c r="T272" s="14"/>
      <c r="U272" s="14"/>
      <c r="V272" s="14">
        <f>SUM(Matiere_premiere[[#This Row],[INVENTAIRE]],-Matiere_premiere[[#This Row],[Entrée]],-Matiere_premiere[[#This Row],[Sortis]])</f>
        <v>7</v>
      </c>
      <c r="W272" s="50" t="str">
        <f>CONCATENATE(Matiere_premiere[[#This Row],[CODE COLEUR]],"_",Matiere_premiere[[#This Row],[COULEUR]],"_",Matiere_premiere[[#This Row],[CODE FAB]],"_",Matiere_premiere[[#This Row],[Num de Lot]])</f>
        <v>C12_BLEU JEANS_NM12.2-12.00_S2023</v>
      </c>
    </row>
    <row r="273" spans="1:23" ht="19.7" customHeight="1" thickBot="1" x14ac:dyDescent="0.3">
      <c r="A273" s="69"/>
      <c r="B273" s="72"/>
      <c r="C273" s="72"/>
      <c r="D273" s="75"/>
      <c r="E273" s="77"/>
      <c r="F273" s="79"/>
      <c r="G273" s="75"/>
      <c r="H273" s="77"/>
      <c r="I273" s="81"/>
      <c r="J273" s="10" t="str">
        <f>Matiere_premiere[[#This Row],[Entrepot]]</f>
        <v>Usine</v>
      </c>
      <c r="K273" s="9" t="b">
        <f>IF(Matiere_premiere[[#This Row],[INVENTAIRE]]&gt;0,TRUE,FALSE)</f>
        <v>0</v>
      </c>
      <c r="L273" s="66"/>
      <c r="M273" s="13" t="s">
        <v>229</v>
      </c>
      <c r="N273" s="13" t="s">
        <v>224</v>
      </c>
      <c r="O273" s="13" t="s">
        <v>221</v>
      </c>
      <c r="P273" s="13" t="s">
        <v>228</v>
      </c>
      <c r="Q273" s="55" t="s">
        <v>69</v>
      </c>
      <c r="R273" s="13" t="s">
        <v>68</v>
      </c>
      <c r="S273" s="14">
        <v>0</v>
      </c>
      <c r="T273" s="14"/>
      <c r="U273" s="14"/>
      <c r="V273" s="14">
        <f>SUM(Matiere_premiere[[#This Row],[INVENTAIRE]],-Matiere_premiere[[#This Row],[Entrée]],-Matiere_premiere[[#This Row],[Sortis]])</f>
        <v>0</v>
      </c>
      <c r="W273" s="50" t="str">
        <f>CONCATENATE(Matiere_premiere[[#This Row],[CODE COLEUR]],"_",Matiere_premiere[[#This Row],[COULEUR]],"_",Matiere_premiere[[#This Row],[CODE FAB]],"_",Matiere_premiere[[#This Row],[Num de Lot]])</f>
        <v>C12_BLEU JEANS_NM12.2-12.00_S2023</v>
      </c>
    </row>
    <row r="274" spans="1:23" ht="19.7" customHeight="1" thickTop="1" thickBot="1" x14ac:dyDescent="0.3">
      <c r="A274" s="67" t="str">
        <f>Matiere_premiere[[#This Row],[NUMERO METRIQUE]]</f>
        <v>NM15</v>
      </c>
      <c r="B274" s="70" t="str">
        <f>Matiere_premiere[[#This Row],[COULEUR]]</f>
        <v>BLEU DJEAN</v>
      </c>
      <c r="C274" s="70" t="str">
        <f>Matiere_premiere[[#This Row],[CODE COLEUR]]</f>
        <v>C12</v>
      </c>
      <c r="D274" s="73" t="str">
        <f>Matiere_premiere[[#This Row],[CODE FAB]]</f>
        <v>NM15-12.00</v>
      </c>
      <c r="E274" s="76" t="e" vm="102">
        <f>_xlfn.IMAGE("https://api.qrserver.com/v1/create-qr-code/?size=100x100&amp;data=" &amp; D274)</f>
        <v>#VALUE!</v>
      </c>
      <c r="F274" s="78"/>
      <c r="G274" s="73">
        <f>Matiere_premiere[[#This Row],[Num de Lot]]</f>
        <v>65305</v>
      </c>
      <c r="H274" s="76" t="e" vm="103">
        <f>_xlfn.IMAGE("https://api.qrserver.com/v1/create-qr-code/?size=100x100&amp;data=" &amp; G274)</f>
        <v>#VALUE!</v>
      </c>
      <c r="I274" s="80"/>
      <c r="J274" s="12" t="str">
        <f>Matiere_premiere[[#This Row],[Entrepot]]</f>
        <v>E1</v>
      </c>
      <c r="K274" s="9" t="b">
        <f>IF(Matiere_premiere[[#This Row],[INVENTAIRE]]&gt;0,TRUE,FALSE)</f>
        <v>0</v>
      </c>
      <c r="L274" s="65"/>
      <c r="M274" s="15" t="s">
        <v>103</v>
      </c>
      <c r="N274" s="15" t="s">
        <v>227</v>
      </c>
      <c r="O274" s="15" t="s">
        <v>221</v>
      </c>
      <c r="P274" s="15" t="s">
        <v>226</v>
      </c>
      <c r="Q274" s="56">
        <v>65305</v>
      </c>
      <c r="R274" s="8" t="s">
        <v>75</v>
      </c>
      <c r="S274" s="7">
        <v>0</v>
      </c>
      <c r="T274" s="7"/>
      <c r="U274" s="7"/>
      <c r="V274" s="7">
        <f>SUM(Matiere_premiere[[#This Row],[INVENTAIRE]],-Matiere_premiere[[#This Row],[Entrée]],-Matiere_premiere[[#This Row],[Sortis]])</f>
        <v>0</v>
      </c>
      <c r="W274" s="50" t="str">
        <f>CONCATENATE(Matiere_premiere[[#This Row],[CODE COLEUR]],"_",Matiere_premiere[[#This Row],[COULEUR]],"_",Matiere_premiere[[#This Row],[CODE FAB]],"_",Matiere_premiere[[#This Row],[Num de Lot]])</f>
        <v>C12_BLEU DJEAN_NM15-12.00_65305</v>
      </c>
    </row>
    <row r="275" spans="1:23" ht="19.7" customHeight="1" thickBot="1" x14ac:dyDescent="0.3">
      <c r="A275" s="68"/>
      <c r="B275" s="71"/>
      <c r="C275" s="71"/>
      <c r="D275" s="74"/>
      <c r="E275" s="76"/>
      <c r="F275" s="78"/>
      <c r="G275" s="74"/>
      <c r="H275" s="76"/>
      <c r="I275" s="80"/>
      <c r="J275" s="11" t="str">
        <f>Matiere_premiere[[#This Row],[Entrepot]]</f>
        <v>E2</v>
      </c>
      <c r="K275" s="9" t="b">
        <f>IF(Matiere_premiere[[#This Row],[INVENTAIRE]]&gt;0,TRUE,FALSE)</f>
        <v>0</v>
      </c>
      <c r="L275" s="65"/>
      <c r="M275" s="15" t="s">
        <v>103</v>
      </c>
      <c r="N275" s="15" t="s">
        <v>227</v>
      </c>
      <c r="O275" s="15" t="s">
        <v>221</v>
      </c>
      <c r="P275" s="15" t="s">
        <v>226</v>
      </c>
      <c r="Q275" s="56">
        <v>65305</v>
      </c>
      <c r="R275" s="8" t="s">
        <v>74</v>
      </c>
      <c r="S275" s="7">
        <v>0</v>
      </c>
      <c r="T275" s="7"/>
      <c r="U275" s="7"/>
      <c r="V275" s="7">
        <f>SUM(Matiere_premiere[[#This Row],[INVENTAIRE]],-Matiere_premiere[[#This Row],[Entrée]],-Matiere_premiere[[#This Row],[Sortis]])</f>
        <v>0</v>
      </c>
      <c r="W275" s="50" t="str">
        <f>CONCATENATE(Matiere_premiere[[#This Row],[CODE COLEUR]],"_",Matiere_premiere[[#This Row],[COULEUR]],"_",Matiere_premiere[[#This Row],[CODE FAB]],"_",Matiere_premiere[[#This Row],[Num de Lot]])</f>
        <v>C12_BLEU DJEAN_NM15-12.00_65305</v>
      </c>
    </row>
    <row r="276" spans="1:23" ht="19.7" customHeight="1" thickBot="1" x14ac:dyDescent="0.3">
      <c r="A276" s="68"/>
      <c r="B276" s="71"/>
      <c r="C276" s="71"/>
      <c r="D276" s="74"/>
      <c r="E276" s="76"/>
      <c r="F276" s="78"/>
      <c r="G276" s="74"/>
      <c r="H276" s="76"/>
      <c r="I276" s="80"/>
      <c r="J276" s="11" t="str">
        <f>Matiere_premiere[[#This Row],[Entrepot]]</f>
        <v>E3</v>
      </c>
      <c r="K276" s="9" t="b">
        <f>IF(Matiere_premiere[[#This Row],[INVENTAIRE]]&gt;0,TRUE,FALSE)</f>
        <v>0</v>
      </c>
      <c r="L276" s="65"/>
      <c r="M276" s="15" t="s">
        <v>103</v>
      </c>
      <c r="N276" s="15" t="s">
        <v>227</v>
      </c>
      <c r="O276" s="15" t="s">
        <v>221</v>
      </c>
      <c r="P276" s="15" t="s">
        <v>226</v>
      </c>
      <c r="Q276" s="56">
        <v>65305</v>
      </c>
      <c r="R276" s="8" t="s">
        <v>73</v>
      </c>
      <c r="S276" s="7">
        <v>0</v>
      </c>
      <c r="T276" s="7"/>
      <c r="U276" s="7"/>
      <c r="V276" s="7">
        <f>SUM(Matiere_premiere[[#This Row],[INVENTAIRE]],-Matiere_premiere[[#This Row],[Entrée]],-Matiere_premiere[[#This Row],[Sortis]])</f>
        <v>0</v>
      </c>
      <c r="W276" s="50" t="str">
        <f>CONCATENATE(Matiere_premiere[[#This Row],[CODE COLEUR]],"_",Matiere_premiere[[#This Row],[COULEUR]],"_",Matiere_premiere[[#This Row],[CODE FAB]],"_",Matiere_premiere[[#This Row],[Num de Lot]])</f>
        <v>C12_BLEU DJEAN_NM15-12.00_65305</v>
      </c>
    </row>
    <row r="277" spans="1:23" ht="19.7" customHeight="1" thickBot="1" x14ac:dyDescent="0.3">
      <c r="A277" s="69"/>
      <c r="B277" s="72"/>
      <c r="C277" s="72"/>
      <c r="D277" s="75"/>
      <c r="E277" s="77"/>
      <c r="F277" s="79"/>
      <c r="G277" s="75"/>
      <c r="H277" s="77"/>
      <c r="I277" s="81"/>
      <c r="J277" s="10" t="str">
        <f>Matiere_premiere[[#This Row],[Entrepot]]</f>
        <v>Usine</v>
      </c>
      <c r="K277" s="9" t="b">
        <f>IF(Matiere_premiere[[#This Row],[INVENTAIRE]]&gt;0,TRUE,FALSE)</f>
        <v>0</v>
      </c>
      <c r="L277" s="66"/>
      <c r="M277" s="8" t="s">
        <v>103</v>
      </c>
      <c r="N277" s="8" t="s">
        <v>227</v>
      </c>
      <c r="O277" s="8" t="s">
        <v>221</v>
      </c>
      <c r="P277" s="8" t="s">
        <v>226</v>
      </c>
      <c r="Q277" s="53">
        <v>65305</v>
      </c>
      <c r="R277" s="8" t="s">
        <v>68</v>
      </c>
      <c r="S277" s="7">
        <v>0</v>
      </c>
      <c r="T277" s="7"/>
      <c r="U277" s="7"/>
      <c r="V277" s="7">
        <f>SUM(Matiere_premiere[[#This Row],[INVENTAIRE]],-Matiere_premiere[[#This Row],[Entrée]],-Matiere_premiere[[#This Row],[Sortis]])</f>
        <v>0</v>
      </c>
      <c r="W277" s="50" t="str">
        <f>CONCATENATE(Matiere_premiere[[#This Row],[CODE COLEUR]],"_",Matiere_premiere[[#This Row],[COULEUR]],"_",Matiere_premiere[[#This Row],[CODE FAB]],"_",Matiere_premiere[[#This Row],[Num de Lot]])</f>
        <v>C12_BLEU DJEAN_NM15-12.00_65305</v>
      </c>
    </row>
    <row r="278" spans="1:23" ht="19.7" customHeight="1" thickTop="1" thickBot="1" x14ac:dyDescent="0.3">
      <c r="A278" s="67" t="str">
        <f>Matiere_premiere[[#This Row],[NUMERO METRIQUE]]</f>
        <v>NM15</v>
      </c>
      <c r="B278" s="70" t="str">
        <f>Matiere_premiere[[#This Row],[COULEUR]]</f>
        <v>BLEU DJEAN</v>
      </c>
      <c r="C278" s="70" t="str">
        <f>Matiere_premiere[[#This Row],[CODE COLEUR]]</f>
        <v>C12</v>
      </c>
      <c r="D278" s="73" t="str">
        <f>Matiere_premiere[[#This Row],[CODE FAB]]</f>
        <v>NM15-12.00</v>
      </c>
      <c r="E278" s="76" t="e" vm="102">
        <f>_xlfn.IMAGE("https://api.qrserver.com/v1/create-qr-code/?size=100x100&amp;data=" &amp; D278)</f>
        <v>#VALUE!</v>
      </c>
      <c r="F278" s="78"/>
      <c r="G278" s="73" t="str">
        <f>Matiere_premiere[[#This Row],[Num de Lot]]</f>
        <v>S2023</v>
      </c>
      <c r="H278" s="76" t="e" vm="2">
        <f>_xlfn.IMAGE("https://api.qrserver.com/v1/create-qr-code/?size=100x100&amp;data=" &amp; G278)</f>
        <v>#VALUE!</v>
      </c>
      <c r="I278" s="80"/>
      <c r="J278" s="12" t="str">
        <f>Matiere_premiere[[#This Row],[Entrepot]]</f>
        <v>E1</v>
      </c>
      <c r="K278" s="9" t="b">
        <f>IF(Matiere_premiere[[#This Row],[INVENTAIRE]]&gt;0,TRUE,FALSE)</f>
        <v>0</v>
      </c>
      <c r="L278" s="65"/>
      <c r="M278" s="13" t="s">
        <v>103</v>
      </c>
      <c r="N278" s="13" t="s">
        <v>227</v>
      </c>
      <c r="O278" s="13" t="s">
        <v>221</v>
      </c>
      <c r="P278" s="13" t="s">
        <v>226</v>
      </c>
      <c r="Q278" s="55" t="s">
        <v>69</v>
      </c>
      <c r="R278" s="13" t="s">
        <v>75</v>
      </c>
      <c r="S278" s="14">
        <v>0</v>
      </c>
      <c r="T278" s="14"/>
      <c r="U278" s="14"/>
      <c r="V278" s="14">
        <f>SUM(Matiere_premiere[[#This Row],[INVENTAIRE]],-Matiere_premiere[[#This Row],[Entrée]],-Matiere_premiere[[#This Row],[Sortis]])</f>
        <v>0</v>
      </c>
      <c r="W278" s="50" t="str">
        <f>CONCATENATE(Matiere_premiere[[#This Row],[CODE COLEUR]],"_",Matiere_premiere[[#This Row],[COULEUR]],"_",Matiere_premiere[[#This Row],[CODE FAB]],"_",Matiere_premiere[[#This Row],[Num de Lot]])</f>
        <v>C12_BLEU DJEAN_NM15-12.00_S2023</v>
      </c>
    </row>
    <row r="279" spans="1:23" ht="19.7" customHeight="1" thickBot="1" x14ac:dyDescent="0.3">
      <c r="A279" s="68"/>
      <c r="B279" s="71"/>
      <c r="C279" s="71"/>
      <c r="D279" s="74"/>
      <c r="E279" s="76"/>
      <c r="F279" s="78"/>
      <c r="G279" s="74"/>
      <c r="H279" s="76"/>
      <c r="I279" s="80"/>
      <c r="J279" s="11" t="str">
        <f>Matiere_premiere[[#This Row],[Entrepot]]</f>
        <v>E2</v>
      </c>
      <c r="K279" s="9" t="b">
        <f>IF(Matiere_premiere[[#This Row],[INVENTAIRE]]&gt;0,TRUE,FALSE)</f>
        <v>0</v>
      </c>
      <c r="L279" s="65"/>
      <c r="M279" s="13" t="s">
        <v>103</v>
      </c>
      <c r="N279" s="13" t="s">
        <v>227</v>
      </c>
      <c r="O279" s="13" t="s">
        <v>221</v>
      </c>
      <c r="P279" s="13" t="s">
        <v>226</v>
      </c>
      <c r="Q279" s="55" t="s">
        <v>69</v>
      </c>
      <c r="R279" s="13" t="s">
        <v>74</v>
      </c>
      <c r="S279" s="14">
        <v>0</v>
      </c>
      <c r="T279" s="14"/>
      <c r="U279" s="14"/>
      <c r="V279" s="14">
        <f>SUM(Matiere_premiere[[#This Row],[INVENTAIRE]],-Matiere_premiere[[#This Row],[Entrée]],-Matiere_premiere[[#This Row],[Sortis]])</f>
        <v>0</v>
      </c>
      <c r="W279" s="50" t="str">
        <f>CONCATENATE(Matiere_premiere[[#This Row],[CODE COLEUR]],"_",Matiere_premiere[[#This Row],[COULEUR]],"_",Matiere_premiere[[#This Row],[CODE FAB]],"_",Matiere_premiere[[#This Row],[Num de Lot]])</f>
        <v>C12_BLEU DJEAN_NM15-12.00_S2023</v>
      </c>
    </row>
    <row r="280" spans="1:23" ht="19.7" customHeight="1" thickBot="1" x14ac:dyDescent="0.3">
      <c r="A280" s="68"/>
      <c r="B280" s="71"/>
      <c r="C280" s="71"/>
      <c r="D280" s="74"/>
      <c r="E280" s="76"/>
      <c r="F280" s="78"/>
      <c r="G280" s="74"/>
      <c r="H280" s="76"/>
      <c r="I280" s="80"/>
      <c r="J280" s="11" t="str">
        <f>Matiere_premiere[[#This Row],[Entrepot]]</f>
        <v>E3</v>
      </c>
      <c r="K280" s="9" t="b">
        <f>IF(Matiere_premiere[[#This Row],[INVENTAIRE]]&gt;0,TRUE,FALSE)</f>
        <v>0</v>
      </c>
      <c r="L280" s="65"/>
      <c r="M280" s="13" t="s">
        <v>103</v>
      </c>
      <c r="N280" s="13" t="s">
        <v>227</v>
      </c>
      <c r="O280" s="13" t="s">
        <v>221</v>
      </c>
      <c r="P280" s="13" t="s">
        <v>226</v>
      </c>
      <c r="Q280" s="55" t="s">
        <v>69</v>
      </c>
      <c r="R280" s="13" t="s">
        <v>73</v>
      </c>
      <c r="S280" s="14">
        <v>0</v>
      </c>
      <c r="T280" s="14"/>
      <c r="U280" s="14"/>
      <c r="V280" s="14">
        <f>SUM(Matiere_premiere[[#This Row],[INVENTAIRE]],-Matiere_premiere[[#This Row],[Entrée]],-Matiere_premiere[[#This Row],[Sortis]])</f>
        <v>0</v>
      </c>
      <c r="W280" s="50" t="str">
        <f>CONCATENATE(Matiere_premiere[[#This Row],[CODE COLEUR]],"_",Matiere_premiere[[#This Row],[COULEUR]],"_",Matiere_premiere[[#This Row],[CODE FAB]],"_",Matiere_premiere[[#This Row],[Num de Lot]])</f>
        <v>C12_BLEU DJEAN_NM15-12.00_S2023</v>
      </c>
    </row>
    <row r="281" spans="1:23" ht="19.7" customHeight="1" thickBot="1" x14ac:dyDescent="0.3">
      <c r="A281" s="69"/>
      <c r="B281" s="72"/>
      <c r="C281" s="72"/>
      <c r="D281" s="75"/>
      <c r="E281" s="77"/>
      <c r="F281" s="79"/>
      <c r="G281" s="75"/>
      <c r="H281" s="77"/>
      <c r="I281" s="81"/>
      <c r="J281" s="10" t="str">
        <f>Matiere_premiere[[#This Row],[Entrepot]]</f>
        <v>Usine</v>
      </c>
      <c r="K281" s="9" t="b">
        <f>IF(Matiere_premiere[[#This Row],[INVENTAIRE]]&gt;0,TRUE,FALSE)</f>
        <v>1</v>
      </c>
      <c r="L281" s="66"/>
      <c r="M281" s="13" t="s">
        <v>103</v>
      </c>
      <c r="N281" s="13" t="s">
        <v>227</v>
      </c>
      <c r="O281" s="13" t="s">
        <v>221</v>
      </c>
      <c r="P281" s="13" t="s">
        <v>226</v>
      </c>
      <c r="Q281" s="55" t="s">
        <v>69</v>
      </c>
      <c r="R281" s="13" t="s">
        <v>68</v>
      </c>
      <c r="S281" s="14">
        <v>226.5</v>
      </c>
      <c r="T281" s="14"/>
      <c r="U281" s="14"/>
      <c r="V281" s="14">
        <f>SUM(Matiere_premiere[[#This Row],[INVENTAIRE]],-Matiere_premiere[[#This Row],[Entrée]],-Matiere_premiere[[#This Row],[Sortis]])</f>
        <v>226.5</v>
      </c>
      <c r="W281" s="50" t="str">
        <f>CONCATENATE(Matiere_premiere[[#This Row],[CODE COLEUR]],"_",Matiere_premiere[[#This Row],[COULEUR]],"_",Matiere_premiere[[#This Row],[CODE FAB]],"_",Matiere_premiere[[#This Row],[Num de Lot]])</f>
        <v>C12_BLEU DJEAN_NM15-12.00_S2023</v>
      </c>
    </row>
    <row r="282" spans="1:23" ht="19.7" customHeight="1" thickTop="1" thickBot="1" x14ac:dyDescent="0.3">
      <c r="A282" s="67" t="str">
        <f>Matiere_premiere[[#This Row],[NUMERO METRIQUE]]</f>
        <v>NM20</v>
      </c>
      <c r="B282" s="70" t="str">
        <f>Matiere_premiere[[#This Row],[COULEUR]]</f>
        <v>BLEU DELAVE</v>
      </c>
      <c r="C282" s="70" t="str">
        <f>Matiere_premiere[[#This Row],[CODE COLEUR]]</f>
        <v>C12</v>
      </c>
      <c r="D282" s="73" t="str">
        <f>Matiere_premiere[[#This Row],[CODE FAB]]</f>
        <v>NM20-12.00</v>
      </c>
      <c r="E282" s="76" t="e" vm="104">
        <f>_xlfn.IMAGE("https://api.qrserver.com/v1/create-qr-code/?size=100x100&amp;data=" &amp; D282)</f>
        <v>#VALUE!</v>
      </c>
      <c r="F282" s="78"/>
      <c r="G282" s="73" t="str">
        <f>Matiere_premiere[[#This Row],[Num de Lot]]</f>
        <v>S2023</v>
      </c>
      <c r="H282" s="76" t="e" vm="2">
        <f>_xlfn.IMAGE("https://api.qrserver.com/v1/create-qr-code/?size=100x100&amp;data=" &amp; G282)</f>
        <v>#VALUE!</v>
      </c>
      <c r="I282" s="80"/>
      <c r="J282" s="12" t="str">
        <f>Matiere_premiere[[#This Row],[Entrepot]]</f>
        <v>E1</v>
      </c>
      <c r="K282" s="9" t="b">
        <f>IF(Matiere_premiere[[#This Row],[INVENTAIRE]]&gt;0,TRUE,FALSE)</f>
        <v>0</v>
      </c>
      <c r="L282" s="65"/>
      <c r="M282" s="8" t="s">
        <v>82</v>
      </c>
      <c r="N282" s="8" t="s">
        <v>222</v>
      </c>
      <c r="O282" s="8" t="s">
        <v>221</v>
      </c>
      <c r="P282" s="8" t="s">
        <v>225</v>
      </c>
      <c r="Q282" s="53" t="s">
        <v>69</v>
      </c>
      <c r="R282" s="8" t="s">
        <v>75</v>
      </c>
      <c r="S282" s="7">
        <v>0</v>
      </c>
      <c r="T282" s="7"/>
      <c r="U282" s="7"/>
      <c r="V282" s="7">
        <f>SUM(Matiere_premiere[[#This Row],[INVENTAIRE]],-Matiere_premiere[[#This Row],[Entrée]],-Matiere_premiere[[#This Row],[Sortis]])</f>
        <v>0</v>
      </c>
      <c r="W282" s="50" t="str">
        <f>CONCATENATE(Matiere_premiere[[#This Row],[CODE COLEUR]],"_",Matiere_premiere[[#This Row],[COULEUR]],"_",Matiere_premiere[[#This Row],[CODE FAB]],"_",Matiere_premiere[[#This Row],[Num de Lot]])</f>
        <v>C12_BLEU DELAVE_NM20-12.00_S2023</v>
      </c>
    </row>
    <row r="283" spans="1:23" ht="19.7" customHeight="1" thickBot="1" x14ac:dyDescent="0.3">
      <c r="A283" s="68"/>
      <c r="B283" s="71"/>
      <c r="C283" s="71"/>
      <c r="D283" s="74"/>
      <c r="E283" s="76"/>
      <c r="F283" s="78"/>
      <c r="G283" s="74"/>
      <c r="H283" s="76"/>
      <c r="I283" s="80"/>
      <c r="J283" s="11" t="str">
        <f>Matiere_premiere[[#This Row],[Entrepot]]</f>
        <v>E2</v>
      </c>
      <c r="K283" s="9" t="b">
        <f>IF(Matiere_premiere[[#This Row],[INVENTAIRE]]&gt;0,TRUE,FALSE)</f>
        <v>0</v>
      </c>
      <c r="L283" s="65"/>
      <c r="M283" s="8" t="s">
        <v>82</v>
      </c>
      <c r="N283" s="8" t="s">
        <v>222</v>
      </c>
      <c r="O283" s="8" t="s">
        <v>221</v>
      </c>
      <c r="P283" s="8" t="s">
        <v>225</v>
      </c>
      <c r="Q283" s="53" t="s">
        <v>69</v>
      </c>
      <c r="R283" s="8" t="s">
        <v>74</v>
      </c>
      <c r="S283" s="7">
        <v>0</v>
      </c>
      <c r="T283" s="7"/>
      <c r="U283" s="7"/>
      <c r="V283" s="7">
        <f>SUM(Matiere_premiere[[#This Row],[INVENTAIRE]],-Matiere_premiere[[#This Row],[Entrée]],-Matiere_premiere[[#This Row],[Sortis]])</f>
        <v>0</v>
      </c>
      <c r="W283" s="50" t="str">
        <f>CONCATENATE(Matiere_premiere[[#This Row],[CODE COLEUR]],"_",Matiere_premiere[[#This Row],[COULEUR]],"_",Matiere_premiere[[#This Row],[CODE FAB]],"_",Matiere_premiere[[#This Row],[Num de Lot]])</f>
        <v>C12_BLEU DELAVE_NM20-12.00_S2023</v>
      </c>
    </row>
    <row r="284" spans="1:23" ht="19.7" customHeight="1" thickBot="1" x14ac:dyDescent="0.3">
      <c r="A284" s="68"/>
      <c r="B284" s="71"/>
      <c r="C284" s="71"/>
      <c r="D284" s="74"/>
      <c r="E284" s="76"/>
      <c r="F284" s="78"/>
      <c r="G284" s="74"/>
      <c r="H284" s="76"/>
      <c r="I284" s="80"/>
      <c r="J284" s="11" t="str">
        <f>Matiere_premiere[[#This Row],[Entrepot]]</f>
        <v>E3</v>
      </c>
      <c r="K284" s="9" t="b">
        <f>IF(Matiere_premiere[[#This Row],[INVENTAIRE]]&gt;0,TRUE,FALSE)</f>
        <v>0</v>
      </c>
      <c r="L284" s="65"/>
      <c r="M284" s="8" t="s">
        <v>82</v>
      </c>
      <c r="N284" s="8" t="s">
        <v>222</v>
      </c>
      <c r="O284" s="8" t="s">
        <v>221</v>
      </c>
      <c r="P284" s="8" t="s">
        <v>225</v>
      </c>
      <c r="Q284" s="53" t="s">
        <v>69</v>
      </c>
      <c r="R284" s="8" t="s">
        <v>73</v>
      </c>
      <c r="S284" s="7">
        <v>0</v>
      </c>
      <c r="T284" s="7"/>
      <c r="U284" s="7"/>
      <c r="V284" s="7">
        <f>SUM(Matiere_premiere[[#This Row],[INVENTAIRE]],-Matiere_premiere[[#This Row],[Entrée]],-Matiere_premiere[[#This Row],[Sortis]])</f>
        <v>0</v>
      </c>
      <c r="W284" s="50" t="str">
        <f>CONCATENATE(Matiere_premiere[[#This Row],[CODE COLEUR]],"_",Matiere_premiere[[#This Row],[COULEUR]],"_",Matiere_premiere[[#This Row],[CODE FAB]],"_",Matiere_premiere[[#This Row],[Num de Lot]])</f>
        <v>C12_BLEU DELAVE_NM20-12.00_S2023</v>
      </c>
    </row>
    <row r="285" spans="1:23" ht="19.7" customHeight="1" thickBot="1" x14ac:dyDescent="0.3">
      <c r="A285" s="69"/>
      <c r="B285" s="72"/>
      <c r="C285" s="72"/>
      <c r="D285" s="75"/>
      <c r="E285" s="77"/>
      <c r="F285" s="79"/>
      <c r="G285" s="75"/>
      <c r="H285" s="77"/>
      <c r="I285" s="81"/>
      <c r="J285" s="10" t="str">
        <f>Matiere_premiere[[#This Row],[Entrepot]]</f>
        <v>Usine</v>
      </c>
      <c r="K285" s="9" t="b">
        <f>IF(Matiere_premiere[[#This Row],[INVENTAIRE]]&gt;0,TRUE,FALSE)</f>
        <v>1</v>
      </c>
      <c r="L285" s="66"/>
      <c r="M285" s="8" t="s">
        <v>82</v>
      </c>
      <c r="N285" s="8" t="s">
        <v>222</v>
      </c>
      <c r="O285" s="8" t="s">
        <v>221</v>
      </c>
      <c r="P285" s="8" t="s">
        <v>225</v>
      </c>
      <c r="Q285" s="53" t="s">
        <v>69</v>
      </c>
      <c r="R285" s="8" t="s">
        <v>68</v>
      </c>
      <c r="S285" s="7">
        <v>58</v>
      </c>
      <c r="T285" s="7"/>
      <c r="U285" s="7"/>
      <c r="V285" s="7">
        <f>SUM(Matiere_premiere[[#This Row],[INVENTAIRE]],-Matiere_premiere[[#This Row],[Entrée]],-Matiere_premiere[[#This Row],[Sortis]])</f>
        <v>58</v>
      </c>
      <c r="W285" s="50" t="str">
        <f>CONCATENATE(Matiere_premiere[[#This Row],[CODE COLEUR]],"_",Matiere_premiere[[#This Row],[COULEUR]],"_",Matiere_premiere[[#This Row],[CODE FAB]],"_",Matiere_premiere[[#This Row],[Num de Lot]])</f>
        <v>C12_BLEU DELAVE_NM20-12.00_S2023</v>
      </c>
    </row>
    <row r="286" spans="1:23" ht="19.7" customHeight="1" thickTop="1" thickBot="1" x14ac:dyDescent="0.3">
      <c r="A286" s="67" t="str">
        <f>Matiere_premiere[[#This Row],[NUMERO METRIQUE]]</f>
        <v>NM20</v>
      </c>
      <c r="B286" s="70" t="str">
        <f>Matiere_premiere[[#This Row],[COULEUR]]</f>
        <v>BLEU JEANS</v>
      </c>
      <c r="C286" s="70" t="str">
        <f>Matiere_premiere[[#This Row],[CODE COLEUR]]</f>
        <v>C12</v>
      </c>
      <c r="D286" s="73" t="str">
        <f>Matiere_premiere[[#This Row],[CODE FAB]]</f>
        <v>NM20-12.01</v>
      </c>
      <c r="E286" s="76" t="e" vm="105">
        <f>_xlfn.IMAGE("https://api.qrserver.com/v1/create-qr-code/?size=100x100&amp;data=" &amp; D286)</f>
        <v>#VALUE!</v>
      </c>
      <c r="F286" s="78"/>
      <c r="G286" s="73" t="str">
        <f>Matiere_premiere[[#This Row],[Num de Lot]]</f>
        <v>S2023</v>
      </c>
      <c r="H286" s="76" t="e" vm="2">
        <f>_xlfn.IMAGE("https://api.qrserver.com/v1/create-qr-code/?size=100x100&amp;data=" &amp; G286)</f>
        <v>#VALUE!</v>
      </c>
      <c r="I286" s="80"/>
      <c r="J286" s="12" t="str">
        <f>Matiere_premiere[[#This Row],[Entrepot]]</f>
        <v>E1</v>
      </c>
      <c r="K286" s="9" t="b">
        <f>IF(Matiere_premiere[[#This Row],[INVENTAIRE]]&gt;0,TRUE,FALSE)</f>
        <v>0</v>
      </c>
      <c r="L286" s="65"/>
      <c r="M286" s="13" t="s">
        <v>82</v>
      </c>
      <c r="N286" s="13" t="s">
        <v>224</v>
      </c>
      <c r="O286" s="13" t="s">
        <v>221</v>
      </c>
      <c r="P286" s="13" t="s">
        <v>223</v>
      </c>
      <c r="Q286" s="55" t="s">
        <v>69</v>
      </c>
      <c r="R286" s="13" t="s">
        <v>75</v>
      </c>
      <c r="S286" s="14">
        <v>0</v>
      </c>
      <c r="T286" s="14"/>
      <c r="U286" s="14"/>
      <c r="V286" s="14">
        <f>SUM(Matiere_premiere[[#This Row],[INVENTAIRE]],-Matiere_premiere[[#This Row],[Entrée]],-Matiere_premiere[[#This Row],[Sortis]])</f>
        <v>0</v>
      </c>
      <c r="W286" s="50" t="str">
        <f>CONCATENATE(Matiere_premiere[[#This Row],[CODE COLEUR]],"_",Matiere_premiere[[#This Row],[COULEUR]],"_",Matiere_premiere[[#This Row],[CODE FAB]],"_",Matiere_premiere[[#This Row],[Num de Lot]])</f>
        <v>C12_BLEU JEANS_NM20-12.01_S2023</v>
      </c>
    </row>
    <row r="287" spans="1:23" ht="19.7" customHeight="1" thickBot="1" x14ac:dyDescent="0.3">
      <c r="A287" s="68"/>
      <c r="B287" s="71"/>
      <c r="C287" s="71"/>
      <c r="D287" s="74"/>
      <c r="E287" s="76"/>
      <c r="F287" s="78"/>
      <c r="G287" s="74"/>
      <c r="H287" s="76"/>
      <c r="I287" s="80"/>
      <c r="J287" s="11" t="str">
        <f>Matiere_premiere[[#This Row],[Entrepot]]</f>
        <v>E2</v>
      </c>
      <c r="K287" s="9" t="b">
        <f>IF(Matiere_premiere[[#This Row],[INVENTAIRE]]&gt;0,TRUE,FALSE)</f>
        <v>0</v>
      </c>
      <c r="L287" s="65"/>
      <c r="M287" s="13" t="s">
        <v>82</v>
      </c>
      <c r="N287" s="13" t="s">
        <v>224</v>
      </c>
      <c r="O287" s="13" t="s">
        <v>221</v>
      </c>
      <c r="P287" s="13" t="s">
        <v>223</v>
      </c>
      <c r="Q287" s="55" t="s">
        <v>69</v>
      </c>
      <c r="R287" s="13" t="s">
        <v>74</v>
      </c>
      <c r="S287" s="14">
        <v>0</v>
      </c>
      <c r="T287" s="14"/>
      <c r="U287" s="14"/>
      <c r="V287" s="14">
        <f>SUM(Matiere_premiere[[#This Row],[INVENTAIRE]],-Matiere_premiere[[#This Row],[Entrée]],-Matiere_premiere[[#This Row],[Sortis]])</f>
        <v>0</v>
      </c>
      <c r="W287" s="50" t="str">
        <f>CONCATENATE(Matiere_premiere[[#This Row],[CODE COLEUR]],"_",Matiere_premiere[[#This Row],[COULEUR]],"_",Matiere_premiere[[#This Row],[CODE FAB]],"_",Matiere_premiere[[#This Row],[Num de Lot]])</f>
        <v>C12_BLEU JEANS_NM20-12.01_S2023</v>
      </c>
    </row>
    <row r="288" spans="1:23" ht="19.7" customHeight="1" thickBot="1" x14ac:dyDescent="0.3">
      <c r="A288" s="68"/>
      <c r="B288" s="71"/>
      <c r="C288" s="71"/>
      <c r="D288" s="74"/>
      <c r="E288" s="76"/>
      <c r="F288" s="78"/>
      <c r="G288" s="74"/>
      <c r="H288" s="76"/>
      <c r="I288" s="80"/>
      <c r="J288" s="11" t="str">
        <f>Matiere_premiere[[#This Row],[Entrepot]]</f>
        <v>E3</v>
      </c>
      <c r="K288" s="9" t="b">
        <f>IF(Matiere_premiere[[#This Row],[INVENTAIRE]]&gt;0,TRUE,FALSE)</f>
        <v>0</v>
      </c>
      <c r="L288" s="65"/>
      <c r="M288" s="13" t="s">
        <v>82</v>
      </c>
      <c r="N288" s="13" t="s">
        <v>224</v>
      </c>
      <c r="O288" s="13" t="s">
        <v>221</v>
      </c>
      <c r="P288" s="13" t="s">
        <v>223</v>
      </c>
      <c r="Q288" s="55" t="s">
        <v>69</v>
      </c>
      <c r="R288" s="13" t="s">
        <v>73</v>
      </c>
      <c r="S288" s="14">
        <v>0</v>
      </c>
      <c r="T288" s="14"/>
      <c r="U288" s="14"/>
      <c r="V288" s="14">
        <f>SUM(Matiere_premiere[[#This Row],[INVENTAIRE]],-Matiere_premiere[[#This Row],[Entrée]],-Matiere_premiere[[#This Row],[Sortis]])</f>
        <v>0</v>
      </c>
      <c r="W288" s="50" t="str">
        <f>CONCATENATE(Matiere_premiere[[#This Row],[CODE COLEUR]],"_",Matiere_premiere[[#This Row],[COULEUR]],"_",Matiere_premiere[[#This Row],[CODE FAB]],"_",Matiere_premiere[[#This Row],[Num de Lot]])</f>
        <v>C12_BLEU JEANS_NM20-12.01_S2023</v>
      </c>
    </row>
    <row r="289" spans="1:23" ht="19.7" customHeight="1" thickBot="1" x14ac:dyDescent="0.3">
      <c r="A289" s="69"/>
      <c r="B289" s="72"/>
      <c r="C289" s="72"/>
      <c r="D289" s="75"/>
      <c r="E289" s="77"/>
      <c r="F289" s="79"/>
      <c r="G289" s="75"/>
      <c r="H289" s="77"/>
      <c r="I289" s="81"/>
      <c r="J289" s="10" t="str">
        <f>Matiere_premiere[[#This Row],[Entrepot]]</f>
        <v>Usine</v>
      </c>
      <c r="K289" s="9" t="b">
        <f>IF(Matiere_premiere[[#This Row],[INVENTAIRE]]&gt;0,TRUE,FALSE)</f>
        <v>1</v>
      </c>
      <c r="L289" s="66"/>
      <c r="M289" s="13" t="s">
        <v>82</v>
      </c>
      <c r="N289" s="13" t="s">
        <v>224</v>
      </c>
      <c r="O289" s="13" t="s">
        <v>221</v>
      </c>
      <c r="P289" s="13" t="s">
        <v>223</v>
      </c>
      <c r="Q289" s="55" t="s">
        <v>69</v>
      </c>
      <c r="R289" s="13" t="s">
        <v>68</v>
      </c>
      <c r="S289" s="14">
        <v>35.25</v>
      </c>
      <c r="T289" s="14"/>
      <c r="U289" s="14"/>
      <c r="V289" s="14">
        <f>SUM(Matiere_premiere[[#This Row],[INVENTAIRE]],-Matiere_premiere[[#This Row],[Entrée]],-Matiere_premiere[[#This Row],[Sortis]])</f>
        <v>35.25</v>
      </c>
      <c r="W289" s="50" t="str">
        <f>CONCATENATE(Matiere_premiere[[#This Row],[CODE COLEUR]],"_",Matiere_premiere[[#This Row],[COULEUR]],"_",Matiere_premiere[[#This Row],[CODE FAB]],"_",Matiere_premiere[[#This Row],[Num de Lot]])</f>
        <v>C12_BLEU JEANS_NM20-12.01_S2023</v>
      </c>
    </row>
    <row r="290" spans="1:23" ht="19.7" customHeight="1" thickTop="1" thickBot="1" x14ac:dyDescent="0.3">
      <c r="A290" s="67" t="str">
        <f>Matiere_premiere[[#This Row],[NUMERO METRIQUE]]</f>
        <v>NM34</v>
      </c>
      <c r="B290" s="70" t="str">
        <f>Matiere_premiere[[#This Row],[COULEUR]]</f>
        <v>BLEU DELAVE</v>
      </c>
      <c r="C290" s="70" t="str">
        <f>Matiere_premiere[[#This Row],[CODE COLEUR]]</f>
        <v>C12</v>
      </c>
      <c r="D290" s="73" t="str">
        <f>Matiere_premiere[[#This Row],[CODE FAB]]</f>
        <v>NM34-12.00</v>
      </c>
      <c r="E290" s="76" t="e" vm="106">
        <f>_xlfn.IMAGE("https://api.qrserver.com/v1/create-qr-code/?size=100x100&amp;data=" &amp; D290)</f>
        <v>#VALUE!</v>
      </c>
      <c r="F290" s="78"/>
      <c r="G290" s="73" t="str">
        <f>Matiere_premiere[[#This Row],[Num de Lot]]</f>
        <v>S2024</v>
      </c>
      <c r="H290" s="76" t="e" vm="20">
        <f>_xlfn.IMAGE("https://api.qrserver.com/v1/create-qr-code/?size=100x100&amp;data=" &amp; G290)</f>
        <v>#VALUE!</v>
      </c>
      <c r="I290" s="80"/>
      <c r="J290" s="12" t="str">
        <f>Matiere_premiere[[#This Row],[Entrepot]]</f>
        <v>E1</v>
      </c>
      <c r="K290" s="9" t="b">
        <f>IF(Matiere_premiere[[#This Row],[INVENTAIRE]]&gt;0,TRUE,FALSE)</f>
        <v>0</v>
      </c>
      <c r="L290" s="65"/>
      <c r="M290" s="8" t="s">
        <v>179</v>
      </c>
      <c r="N290" s="8" t="s">
        <v>222</v>
      </c>
      <c r="O290" s="8" t="s">
        <v>221</v>
      </c>
      <c r="P290" s="8" t="s">
        <v>220</v>
      </c>
      <c r="Q290" s="53" t="s">
        <v>175</v>
      </c>
      <c r="R290" s="8" t="s">
        <v>75</v>
      </c>
      <c r="S290" s="7">
        <v>0</v>
      </c>
      <c r="T290" s="7"/>
      <c r="U290" s="7"/>
      <c r="V290" s="7">
        <f>SUM(Matiere_premiere[[#This Row],[INVENTAIRE]],-Matiere_premiere[[#This Row],[Entrée]],-Matiere_premiere[[#This Row],[Sortis]])</f>
        <v>0</v>
      </c>
      <c r="W290" s="50" t="str">
        <f>CONCATENATE(Matiere_premiere[[#This Row],[CODE COLEUR]],"_",Matiere_premiere[[#This Row],[COULEUR]],"_",Matiere_premiere[[#This Row],[CODE FAB]],"_",Matiere_premiere[[#This Row],[Num de Lot]])</f>
        <v>C12_BLEU DELAVE_NM34-12.00_S2024</v>
      </c>
    </row>
    <row r="291" spans="1:23" ht="19.7" customHeight="1" thickBot="1" x14ac:dyDescent="0.3">
      <c r="A291" s="68"/>
      <c r="B291" s="71"/>
      <c r="C291" s="71"/>
      <c r="D291" s="74"/>
      <c r="E291" s="76"/>
      <c r="F291" s="78"/>
      <c r="G291" s="74"/>
      <c r="H291" s="76"/>
      <c r="I291" s="80"/>
      <c r="J291" s="11" t="str">
        <f>Matiere_premiere[[#This Row],[Entrepot]]</f>
        <v>E2</v>
      </c>
      <c r="K291" s="9" t="b">
        <f>IF(Matiere_premiere[[#This Row],[INVENTAIRE]]&gt;0,TRUE,FALSE)</f>
        <v>0</v>
      </c>
      <c r="L291" s="65"/>
      <c r="M291" s="8" t="s">
        <v>179</v>
      </c>
      <c r="N291" s="8" t="s">
        <v>222</v>
      </c>
      <c r="O291" s="8" t="s">
        <v>221</v>
      </c>
      <c r="P291" s="8" t="s">
        <v>220</v>
      </c>
      <c r="Q291" s="53" t="s">
        <v>175</v>
      </c>
      <c r="R291" s="8" t="s">
        <v>74</v>
      </c>
      <c r="S291" s="7">
        <v>0</v>
      </c>
      <c r="T291" s="7"/>
      <c r="U291" s="7"/>
      <c r="V291" s="7">
        <f>SUM(Matiere_premiere[[#This Row],[INVENTAIRE]],-Matiere_premiere[[#This Row],[Entrée]],-Matiere_premiere[[#This Row],[Sortis]])</f>
        <v>0</v>
      </c>
      <c r="W291" s="50" t="str">
        <f>CONCATENATE(Matiere_premiere[[#This Row],[CODE COLEUR]],"_",Matiere_premiere[[#This Row],[COULEUR]],"_",Matiere_premiere[[#This Row],[CODE FAB]],"_",Matiere_premiere[[#This Row],[Num de Lot]])</f>
        <v>C12_BLEU DELAVE_NM34-12.00_S2024</v>
      </c>
    </row>
    <row r="292" spans="1:23" ht="19.7" customHeight="1" thickBot="1" x14ac:dyDescent="0.3">
      <c r="A292" s="68"/>
      <c r="B292" s="71"/>
      <c r="C292" s="71"/>
      <c r="D292" s="74"/>
      <c r="E292" s="76"/>
      <c r="F292" s="78"/>
      <c r="G292" s="74"/>
      <c r="H292" s="76"/>
      <c r="I292" s="80"/>
      <c r="J292" s="11" t="str">
        <f>Matiere_premiere[[#This Row],[Entrepot]]</f>
        <v>E3</v>
      </c>
      <c r="K292" s="9" t="b">
        <f>IF(Matiere_premiere[[#This Row],[INVENTAIRE]]&gt;0,TRUE,FALSE)</f>
        <v>0</v>
      </c>
      <c r="L292" s="65"/>
      <c r="M292" s="8" t="s">
        <v>179</v>
      </c>
      <c r="N292" s="8" t="s">
        <v>222</v>
      </c>
      <c r="O292" s="8" t="s">
        <v>221</v>
      </c>
      <c r="P292" s="8" t="s">
        <v>220</v>
      </c>
      <c r="Q292" s="53" t="s">
        <v>175</v>
      </c>
      <c r="R292" s="8" t="s">
        <v>73</v>
      </c>
      <c r="S292" s="7">
        <v>0</v>
      </c>
      <c r="T292" s="7"/>
      <c r="U292" s="7"/>
      <c r="V292" s="7">
        <f>SUM(Matiere_premiere[[#This Row],[INVENTAIRE]],-Matiere_premiere[[#This Row],[Entrée]],-Matiere_premiere[[#This Row],[Sortis]])</f>
        <v>0</v>
      </c>
      <c r="W292" s="50" t="str">
        <f>CONCATENATE(Matiere_premiere[[#This Row],[CODE COLEUR]],"_",Matiere_premiere[[#This Row],[COULEUR]],"_",Matiere_premiere[[#This Row],[CODE FAB]],"_",Matiere_premiere[[#This Row],[Num de Lot]])</f>
        <v>C12_BLEU DELAVE_NM34-12.00_S2024</v>
      </c>
    </row>
    <row r="293" spans="1:23" ht="19.7" customHeight="1" thickBot="1" x14ac:dyDescent="0.3">
      <c r="A293" s="69"/>
      <c r="B293" s="72"/>
      <c r="C293" s="72"/>
      <c r="D293" s="75"/>
      <c r="E293" s="77"/>
      <c r="F293" s="79"/>
      <c r="G293" s="75"/>
      <c r="H293" s="77"/>
      <c r="I293" s="81"/>
      <c r="J293" s="10" t="str">
        <f>Matiere_premiere[[#This Row],[Entrepot]]</f>
        <v>Usine</v>
      </c>
      <c r="K293" s="9" t="b">
        <f>IF(Matiere_premiere[[#This Row],[INVENTAIRE]]&gt;0,TRUE,FALSE)</f>
        <v>1</v>
      </c>
      <c r="L293" s="66"/>
      <c r="M293" s="8" t="s">
        <v>179</v>
      </c>
      <c r="N293" s="8" t="s">
        <v>222</v>
      </c>
      <c r="O293" s="8" t="s">
        <v>221</v>
      </c>
      <c r="P293" s="8" t="s">
        <v>220</v>
      </c>
      <c r="Q293" s="53" t="s">
        <v>175</v>
      </c>
      <c r="R293" s="8" t="s">
        <v>68</v>
      </c>
      <c r="S293" s="7">
        <v>48</v>
      </c>
      <c r="T293" s="7"/>
      <c r="U293" s="7"/>
      <c r="V293" s="7">
        <f>SUM(Matiere_premiere[[#This Row],[INVENTAIRE]],-Matiere_premiere[[#This Row],[Entrée]],-Matiere_premiere[[#This Row],[Sortis]])</f>
        <v>48</v>
      </c>
      <c r="W293" s="50" t="str">
        <f>CONCATENATE(Matiere_premiere[[#This Row],[CODE COLEUR]],"_",Matiere_premiere[[#This Row],[COULEUR]],"_",Matiere_premiere[[#This Row],[CODE FAB]],"_",Matiere_premiere[[#This Row],[Num de Lot]])</f>
        <v>C12_BLEU DELAVE_NM34-12.00_S2024</v>
      </c>
    </row>
    <row r="294" spans="1:23" ht="19.7" customHeight="1" thickTop="1" thickBot="1" x14ac:dyDescent="0.3">
      <c r="A294" s="67" t="str">
        <f>Matiere_premiere[[#This Row],[NUMERO METRIQUE]]</f>
        <v>NM15</v>
      </c>
      <c r="B294" s="70" t="str">
        <f>Matiere_premiere[[#This Row],[COULEUR]]</f>
        <v>BLEU ROI</v>
      </c>
      <c r="C294" s="70" t="str">
        <f>Matiere_premiere[[#This Row],[CODE COLEUR]]</f>
        <v>C13</v>
      </c>
      <c r="D294" s="73" t="str">
        <f>Matiere_premiere[[#This Row],[CODE FAB]]</f>
        <v>NM15-13.00</v>
      </c>
      <c r="E294" s="76" t="e" vm="107">
        <f>_xlfn.IMAGE("https://api.qrserver.com/v1/create-qr-code/?size=100x100&amp;data=" &amp; D294)</f>
        <v>#VALUE!</v>
      </c>
      <c r="F294" s="78"/>
      <c r="G294" s="73">
        <f>Matiere_premiere[[#This Row],[Num de Lot]]</f>
        <v>61519</v>
      </c>
      <c r="H294" s="76" t="e" vm="108">
        <f>_xlfn.IMAGE("https://api.qrserver.com/v1/create-qr-code/?size=100x100&amp;data=" &amp; G294)</f>
        <v>#VALUE!</v>
      </c>
      <c r="I294" s="80"/>
      <c r="J294" s="12" t="str">
        <f>Matiere_premiere[[#This Row],[Entrepot]]</f>
        <v>E1</v>
      </c>
      <c r="K294" s="9" t="b">
        <f>IF(Matiere_premiere[[#This Row],[INVENTAIRE]]&gt;0,TRUE,FALSE)</f>
        <v>0</v>
      </c>
      <c r="L294" s="65"/>
      <c r="M294" s="13" t="s">
        <v>103</v>
      </c>
      <c r="N294" s="13" t="s">
        <v>218</v>
      </c>
      <c r="O294" s="13" t="s">
        <v>217</v>
      </c>
      <c r="P294" s="13" t="s">
        <v>219</v>
      </c>
      <c r="Q294" s="55">
        <v>61519</v>
      </c>
      <c r="R294" s="13" t="s">
        <v>75</v>
      </c>
      <c r="S294" s="14">
        <v>0</v>
      </c>
      <c r="T294" s="14"/>
      <c r="U294" s="14"/>
      <c r="V294" s="14">
        <f>SUM(Matiere_premiere[[#This Row],[INVENTAIRE]],-Matiere_premiere[[#This Row],[Entrée]],-Matiere_premiere[[#This Row],[Sortis]])</f>
        <v>0</v>
      </c>
      <c r="W294" s="50" t="str">
        <f>CONCATENATE(Matiere_premiere[[#This Row],[CODE COLEUR]],"_",Matiere_premiere[[#This Row],[COULEUR]],"_",Matiere_premiere[[#This Row],[CODE FAB]],"_",Matiere_premiere[[#This Row],[Num de Lot]])</f>
        <v>C13_BLEU ROI_NM15-13.00_61519</v>
      </c>
    </row>
    <row r="295" spans="1:23" ht="19.7" customHeight="1" thickBot="1" x14ac:dyDescent="0.3">
      <c r="A295" s="68"/>
      <c r="B295" s="71"/>
      <c r="C295" s="71"/>
      <c r="D295" s="74"/>
      <c r="E295" s="76"/>
      <c r="F295" s="78"/>
      <c r="G295" s="74"/>
      <c r="H295" s="76"/>
      <c r="I295" s="80"/>
      <c r="J295" s="11" t="str">
        <f>Matiere_premiere[[#This Row],[Entrepot]]</f>
        <v>E2</v>
      </c>
      <c r="K295" s="9" t="b">
        <f>IF(Matiere_premiere[[#This Row],[INVENTAIRE]]&gt;0,TRUE,FALSE)</f>
        <v>0</v>
      </c>
      <c r="L295" s="65"/>
      <c r="M295" s="13" t="s">
        <v>103</v>
      </c>
      <c r="N295" s="13" t="s">
        <v>218</v>
      </c>
      <c r="O295" s="13" t="s">
        <v>217</v>
      </c>
      <c r="P295" s="13" t="s">
        <v>219</v>
      </c>
      <c r="Q295" s="55">
        <v>61519</v>
      </c>
      <c r="R295" s="13" t="s">
        <v>74</v>
      </c>
      <c r="S295" s="14">
        <v>0</v>
      </c>
      <c r="T295" s="14"/>
      <c r="U295" s="14"/>
      <c r="V295" s="14">
        <f>SUM(Matiere_premiere[[#This Row],[INVENTAIRE]],-Matiere_premiere[[#This Row],[Entrée]],-Matiere_premiere[[#This Row],[Sortis]])</f>
        <v>0</v>
      </c>
      <c r="W295" s="50" t="str">
        <f>CONCATENATE(Matiere_premiere[[#This Row],[CODE COLEUR]],"_",Matiere_premiere[[#This Row],[COULEUR]],"_",Matiere_premiere[[#This Row],[CODE FAB]],"_",Matiere_premiere[[#This Row],[Num de Lot]])</f>
        <v>C13_BLEU ROI_NM15-13.00_61519</v>
      </c>
    </row>
    <row r="296" spans="1:23" ht="19.7" customHeight="1" thickBot="1" x14ac:dyDescent="0.3">
      <c r="A296" s="68"/>
      <c r="B296" s="71"/>
      <c r="C296" s="71"/>
      <c r="D296" s="74"/>
      <c r="E296" s="76"/>
      <c r="F296" s="78"/>
      <c r="G296" s="74"/>
      <c r="H296" s="76"/>
      <c r="I296" s="80"/>
      <c r="J296" s="11" t="str">
        <f>Matiere_premiere[[#This Row],[Entrepot]]</f>
        <v>E3</v>
      </c>
      <c r="K296" s="9" t="b">
        <f>IF(Matiere_premiere[[#This Row],[INVENTAIRE]]&gt;0,TRUE,FALSE)</f>
        <v>0</v>
      </c>
      <c r="L296" s="65"/>
      <c r="M296" s="13" t="s">
        <v>103</v>
      </c>
      <c r="N296" s="13" t="s">
        <v>218</v>
      </c>
      <c r="O296" s="13" t="s">
        <v>217</v>
      </c>
      <c r="P296" s="13" t="s">
        <v>219</v>
      </c>
      <c r="Q296" s="55">
        <v>61519</v>
      </c>
      <c r="R296" s="13" t="s">
        <v>73</v>
      </c>
      <c r="S296" s="14">
        <v>0</v>
      </c>
      <c r="T296" s="14"/>
      <c r="U296" s="14"/>
      <c r="V296" s="14">
        <f>SUM(Matiere_premiere[[#This Row],[INVENTAIRE]],-Matiere_premiere[[#This Row],[Entrée]],-Matiere_premiere[[#This Row],[Sortis]])</f>
        <v>0</v>
      </c>
      <c r="W296" s="50" t="str">
        <f>CONCATENATE(Matiere_premiere[[#This Row],[CODE COLEUR]],"_",Matiere_premiere[[#This Row],[COULEUR]],"_",Matiere_premiere[[#This Row],[CODE FAB]],"_",Matiere_premiere[[#This Row],[Num de Lot]])</f>
        <v>C13_BLEU ROI_NM15-13.00_61519</v>
      </c>
    </row>
    <row r="297" spans="1:23" ht="19.7" customHeight="1" thickBot="1" x14ac:dyDescent="0.3">
      <c r="A297" s="69"/>
      <c r="B297" s="72"/>
      <c r="C297" s="72"/>
      <c r="D297" s="75"/>
      <c r="E297" s="77"/>
      <c r="F297" s="79"/>
      <c r="G297" s="75"/>
      <c r="H297" s="77"/>
      <c r="I297" s="81"/>
      <c r="J297" s="10" t="str">
        <f>Matiere_premiere[[#This Row],[Entrepot]]</f>
        <v>Usine</v>
      </c>
      <c r="K297" s="9" t="b">
        <f>IF(Matiere_premiere[[#This Row],[INVENTAIRE]]&gt;0,TRUE,FALSE)</f>
        <v>1</v>
      </c>
      <c r="L297" s="66"/>
      <c r="M297" s="13" t="s">
        <v>103</v>
      </c>
      <c r="N297" s="13" t="s">
        <v>218</v>
      </c>
      <c r="O297" s="13" t="s">
        <v>217</v>
      </c>
      <c r="P297" s="13" t="s">
        <v>219</v>
      </c>
      <c r="Q297" s="55">
        <v>61519</v>
      </c>
      <c r="R297" s="13" t="s">
        <v>68</v>
      </c>
      <c r="S297" s="14">
        <v>4</v>
      </c>
      <c r="T297" s="14"/>
      <c r="U297" s="14"/>
      <c r="V297" s="14">
        <f>SUM(Matiere_premiere[[#This Row],[INVENTAIRE]],-Matiere_premiere[[#This Row],[Entrée]],-Matiere_premiere[[#This Row],[Sortis]])</f>
        <v>4</v>
      </c>
      <c r="W297" s="50" t="str">
        <f>CONCATENATE(Matiere_premiere[[#This Row],[CODE COLEUR]],"_",Matiere_premiere[[#This Row],[COULEUR]],"_",Matiere_premiere[[#This Row],[CODE FAB]],"_",Matiere_premiere[[#This Row],[Num de Lot]])</f>
        <v>C13_BLEU ROI_NM15-13.00_61519</v>
      </c>
    </row>
    <row r="298" spans="1:23" ht="19.7" customHeight="1" thickTop="1" thickBot="1" x14ac:dyDescent="0.3">
      <c r="A298" s="67" t="str">
        <f>Matiere_premiere[[#This Row],[NUMERO METRIQUE]]</f>
        <v>NM15</v>
      </c>
      <c r="B298" s="70" t="str">
        <f>Matiere_premiere[[#This Row],[COULEUR]]</f>
        <v>BLEU ROI</v>
      </c>
      <c r="C298" s="70" t="str">
        <f>Matiere_premiere[[#This Row],[CODE COLEUR]]</f>
        <v>C13</v>
      </c>
      <c r="D298" s="73" t="str">
        <f>Matiere_premiere[[#This Row],[CODE FAB]]</f>
        <v>NM15-13.00</v>
      </c>
      <c r="E298" s="76" t="e" vm="107">
        <f>_xlfn.IMAGE("https://api.qrserver.com/v1/create-qr-code/?size=100x100&amp;data=" &amp; D298)</f>
        <v>#VALUE!</v>
      </c>
      <c r="F298" s="78"/>
      <c r="G298" s="73">
        <f>Matiere_premiere[[#This Row],[Num de Lot]]</f>
        <v>65299</v>
      </c>
      <c r="H298" s="76" t="e" vm="109">
        <f>_xlfn.IMAGE("https://api.qrserver.com/v1/create-qr-code/?size=100x100&amp;data=" &amp; G298)</f>
        <v>#VALUE!</v>
      </c>
      <c r="I298" s="80"/>
      <c r="J298" s="12" t="str">
        <f>Matiere_premiere[[#This Row],[Entrepot]]</f>
        <v>E1</v>
      </c>
      <c r="K298" s="9" t="b">
        <f>IF(Matiere_premiere[[#This Row],[INVENTAIRE]]&gt;0,TRUE,FALSE)</f>
        <v>0</v>
      </c>
      <c r="L298" s="65"/>
      <c r="M298" s="15" t="s">
        <v>103</v>
      </c>
      <c r="N298" s="15" t="s">
        <v>218</v>
      </c>
      <c r="O298" s="15" t="s">
        <v>217</v>
      </c>
      <c r="P298" s="15" t="s">
        <v>219</v>
      </c>
      <c r="Q298" s="56">
        <v>65299</v>
      </c>
      <c r="R298" s="8" t="s">
        <v>75</v>
      </c>
      <c r="S298" s="7">
        <v>0</v>
      </c>
      <c r="T298" s="7"/>
      <c r="U298" s="7"/>
      <c r="V298" s="7">
        <f>SUM(Matiere_premiere[[#This Row],[INVENTAIRE]],-Matiere_premiere[[#This Row],[Entrée]],-Matiere_premiere[[#This Row],[Sortis]])</f>
        <v>0</v>
      </c>
      <c r="W298" s="50" t="str">
        <f>CONCATENATE(Matiere_premiere[[#This Row],[CODE COLEUR]],"_",Matiere_premiere[[#This Row],[COULEUR]],"_",Matiere_premiere[[#This Row],[CODE FAB]],"_",Matiere_premiere[[#This Row],[Num de Lot]])</f>
        <v>C13_BLEU ROI_NM15-13.00_65299</v>
      </c>
    </row>
    <row r="299" spans="1:23" ht="19.7" customHeight="1" thickBot="1" x14ac:dyDescent="0.3">
      <c r="A299" s="68"/>
      <c r="B299" s="71"/>
      <c r="C299" s="71"/>
      <c r="D299" s="74"/>
      <c r="E299" s="76"/>
      <c r="F299" s="78"/>
      <c r="G299" s="74"/>
      <c r="H299" s="76"/>
      <c r="I299" s="80"/>
      <c r="J299" s="11" t="str">
        <f>Matiere_premiere[[#This Row],[Entrepot]]</f>
        <v>E2</v>
      </c>
      <c r="K299" s="9" t="b">
        <f>IF(Matiere_premiere[[#This Row],[INVENTAIRE]]&gt;0,TRUE,FALSE)</f>
        <v>0</v>
      </c>
      <c r="L299" s="65"/>
      <c r="M299" s="15" t="s">
        <v>103</v>
      </c>
      <c r="N299" s="15" t="s">
        <v>218</v>
      </c>
      <c r="O299" s="15" t="s">
        <v>217</v>
      </c>
      <c r="P299" s="15" t="s">
        <v>219</v>
      </c>
      <c r="Q299" s="56">
        <v>65299</v>
      </c>
      <c r="R299" s="8" t="s">
        <v>74</v>
      </c>
      <c r="S299" s="7">
        <v>0</v>
      </c>
      <c r="T299" s="7"/>
      <c r="U299" s="7"/>
      <c r="V299" s="7">
        <f>SUM(Matiere_premiere[[#This Row],[INVENTAIRE]],-Matiere_premiere[[#This Row],[Entrée]],-Matiere_premiere[[#This Row],[Sortis]])</f>
        <v>0</v>
      </c>
      <c r="W299" s="50" t="str">
        <f>CONCATENATE(Matiere_premiere[[#This Row],[CODE COLEUR]],"_",Matiere_premiere[[#This Row],[COULEUR]],"_",Matiere_premiere[[#This Row],[CODE FAB]],"_",Matiere_premiere[[#This Row],[Num de Lot]])</f>
        <v>C13_BLEU ROI_NM15-13.00_65299</v>
      </c>
    </row>
    <row r="300" spans="1:23" ht="19.7" customHeight="1" thickBot="1" x14ac:dyDescent="0.3">
      <c r="A300" s="68"/>
      <c r="B300" s="71"/>
      <c r="C300" s="71"/>
      <c r="D300" s="74"/>
      <c r="E300" s="76"/>
      <c r="F300" s="78"/>
      <c r="G300" s="74"/>
      <c r="H300" s="76"/>
      <c r="I300" s="80"/>
      <c r="J300" s="11" t="str">
        <f>Matiere_premiere[[#This Row],[Entrepot]]</f>
        <v>E3</v>
      </c>
      <c r="K300" s="9" t="b">
        <f>IF(Matiere_premiere[[#This Row],[INVENTAIRE]]&gt;0,TRUE,FALSE)</f>
        <v>0</v>
      </c>
      <c r="L300" s="65"/>
      <c r="M300" s="15" t="s">
        <v>103</v>
      </c>
      <c r="N300" s="15" t="s">
        <v>218</v>
      </c>
      <c r="O300" s="15" t="s">
        <v>217</v>
      </c>
      <c r="P300" s="15" t="s">
        <v>219</v>
      </c>
      <c r="Q300" s="56">
        <v>65299</v>
      </c>
      <c r="R300" s="8" t="s">
        <v>73</v>
      </c>
      <c r="S300" s="7">
        <v>0</v>
      </c>
      <c r="T300" s="7"/>
      <c r="U300" s="7"/>
      <c r="V300" s="7">
        <f>SUM(Matiere_premiere[[#This Row],[INVENTAIRE]],-Matiere_premiere[[#This Row],[Entrée]],-Matiere_premiere[[#This Row],[Sortis]])</f>
        <v>0</v>
      </c>
      <c r="W300" s="50" t="str">
        <f>CONCATENATE(Matiere_premiere[[#This Row],[CODE COLEUR]],"_",Matiere_premiere[[#This Row],[COULEUR]],"_",Matiere_premiere[[#This Row],[CODE FAB]],"_",Matiere_premiere[[#This Row],[Num de Lot]])</f>
        <v>C13_BLEU ROI_NM15-13.00_65299</v>
      </c>
    </row>
    <row r="301" spans="1:23" ht="19.7" customHeight="1" thickBot="1" x14ac:dyDescent="0.3">
      <c r="A301" s="69"/>
      <c r="B301" s="72"/>
      <c r="C301" s="72"/>
      <c r="D301" s="75"/>
      <c r="E301" s="77"/>
      <c r="F301" s="79"/>
      <c r="G301" s="75"/>
      <c r="H301" s="77"/>
      <c r="I301" s="81"/>
      <c r="J301" s="10" t="str">
        <f>Matiere_premiere[[#This Row],[Entrepot]]</f>
        <v>Usine</v>
      </c>
      <c r="K301" s="9" t="b">
        <f>IF(Matiere_premiere[[#This Row],[INVENTAIRE]]&gt;0,TRUE,FALSE)</f>
        <v>0</v>
      </c>
      <c r="L301" s="66"/>
      <c r="M301" s="8" t="s">
        <v>103</v>
      </c>
      <c r="N301" s="8" t="s">
        <v>218</v>
      </c>
      <c r="O301" s="8" t="s">
        <v>217</v>
      </c>
      <c r="P301" s="8" t="s">
        <v>219</v>
      </c>
      <c r="Q301" s="53">
        <v>65299</v>
      </c>
      <c r="R301" s="8" t="s">
        <v>68</v>
      </c>
      <c r="S301" s="7">
        <v>0</v>
      </c>
      <c r="T301" s="7"/>
      <c r="U301" s="7"/>
      <c r="V301" s="7">
        <f>SUM(Matiere_premiere[[#This Row],[INVENTAIRE]],-Matiere_premiere[[#This Row],[Entrée]],-Matiere_premiere[[#This Row],[Sortis]])</f>
        <v>0</v>
      </c>
      <c r="W301" s="50" t="str">
        <f>CONCATENATE(Matiere_premiere[[#This Row],[CODE COLEUR]],"_",Matiere_premiere[[#This Row],[COULEUR]],"_",Matiere_premiere[[#This Row],[CODE FAB]],"_",Matiere_premiere[[#This Row],[Num de Lot]])</f>
        <v>C13_BLEU ROI_NM15-13.00_65299</v>
      </c>
    </row>
    <row r="302" spans="1:23" ht="19.7" customHeight="1" thickTop="1" thickBot="1" x14ac:dyDescent="0.3">
      <c r="A302" s="67" t="str">
        <f>Matiere_premiere[[#This Row],[NUMERO METRIQUE]]</f>
        <v>NM20</v>
      </c>
      <c r="B302" s="70" t="str">
        <f>Matiere_premiere[[#This Row],[COULEUR]]</f>
        <v>BLEU ROI</v>
      </c>
      <c r="C302" s="70" t="str">
        <f>Matiere_premiere[[#This Row],[CODE COLEUR]]</f>
        <v>C13</v>
      </c>
      <c r="D302" s="73" t="str">
        <f>Matiere_premiere[[#This Row],[CODE FAB]]</f>
        <v>NM20-13.00</v>
      </c>
      <c r="E302" s="76" t="e" vm="110">
        <f>_xlfn.IMAGE("https://api.qrserver.com/v1/create-qr-code/?size=100x100&amp;data=" &amp; D302)</f>
        <v>#VALUE!</v>
      </c>
      <c r="F302" s="78"/>
      <c r="G302" s="73" t="str">
        <f>Matiere_premiere[[#This Row],[Num de Lot]]</f>
        <v>S2023</v>
      </c>
      <c r="H302" s="76" t="e" vm="2">
        <f>_xlfn.IMAGE("https://api.qrserver.com/v1/create-qr-code/?size=100x100&amp;data=" &amp; G302)</f>
        <v>#VALUE!</v>
      </c>
      <c r="I302" s="80"/>
      <c r="J302" s="12" t="str">
        <f>Matiere_premiere[[#This Row],[Entrepot]]</f>
        <v>E1</v>
      </c>
      <c r="K302" s="9" t="b">
        <f>IF(Matiere_premiere[[#This Row],[INVENTAIRE]]&gt;0,TRUE,FALSE)</f>
        <v>0</v>
      </c>
      <c r="L302" s="65"/>
      <c r="M302" s="13" t="s">
        <v>82</v>
      </c>
      <c r="N302" s="13" t="s">
        <v>218</v>
      </c>
      <c r="O302" s="13" t="s">
        <v>217</v>
      </c>
      <c r="P302" s="13" t="s">
        <v>216</v>
      </c>
      <c r="Q302" s="55" t="s">
        <v>69</v>
      </c>
      <c r="R302" s="13" t="s">
        <v>75</v>
      </c>
      <c r="S302" s="14">
        <v>0</v>
      </c>
      <c r="T302" s="14"/>
      <c r="U302" s="14"/>
      <c r="V302" s="14">
        <f>SUM(Matiere_premiere[[#This Row],[INVENTAIRE]],-Matiere_premiere[[#This Row],[Entrée]],-Matiere_premiere[[#This Row],[Sortis]])</f>
        <v>0</v>
      </c>
      <c r="W302" s="50" t="str">
        <f>CONCATENATE(Matiere_premiere[[#This Row],[CODE COLEUR]],"_",Matiere_premiere[[#This Row],[COULEUR]],"_",Matiere_premiere[[#This Row],[CODE FAB]],"_",Matiere_premiere[[#This Row],[Num de Lot]])</f>
        <v>C13_BLEU ROI_NM20-13.00_S2023</v>
      </c>
    </row>
    <row r="303" spans="1:23" ht="19.7" customHeight="1" thickBot="1" x14ac:dyDescent="0.3">
      <c r="A303" s="68"/>
      <c r="B303" s="71"/>
      <c r="C303" s="71"/>
      <c r="D303" s="74"/>
      <c r="E303" s="76"/>
      <c r="F303" s="78"/>
      <c r="G303" s="74"/>
      <c r="H303" s="76"/>
      <c r="I303" s="80"/>
      <c r="J303" s="11" t="str">
        <f>Matiere_premiere[[#This Row],[Entrepot]]</f>
        <v>E2</v>
      </c>
      <c r="K303" s="9" t="b">
        <f>IF(Matiere_premiere[[#This Row],[INVENTAIRE]]&gt;0,TRUE,FALSE)</f>
        <v>0</v>
      </c>
      <c r="L303" s="65"/>
      <c r="M303" s="13" t="s">
        <v>82</v>
      </c>
      <c r="N303" s="13" t="s">
        <v>218</v>
      </c>
      <c r="O303" s="13" t="s">
        <v>217</v>
      </c>
      <c r="P303" s="13" t="s">
        <v>216</v>
      </c>
      <c r="Q303" s="55" t="s">
        <v>69</v>
      </c>
      <c r="R303" s="13" t="s">
        <v>74</v>
      </c>
      <c r="S303" s="14">
        <v>0</v>
      </c>
      <c r="T303" s="14"/>
      <c r="U303" s="14"/>
      <c r="V303" s="14">
        <f>SUM(Matiere_premiere[[#This Row],[INVENTAIRE]],-Matiere_premiere[[#This Row],[Entrée]],-Matiere_premiere[[#This Row],[Sortis]])</f>
        <v>0</v>
      </c>
      <c r="W303" s="50" t="str">
        <f>CONCATENATE(Matiere_premiere[[#This Row],[CODE COLEUR]],"_",Matiere_premiere[[#This Row],[COULEUR]],"_",Matiere_premiere[[#This Row],[CODE FAB]],"_",Matiere_premiere[[#This Row],[Num de Lot]])</f>
        <v>C13_BLEU ROI_NM20-13.00_S2023</v>
      </c>
    </row>
    <row r="304" spans="1:23" ht="19.7" customHeight="1" thickBot="1" x14ac:dyDescent="0.3">
      <c r="A304" s="68"/>
      <c r="B304" s="71"/>
      <c r="C304" s="71"/>
      <c r="D304" s="74"/>
      <c r="E304" s="76"/>
      <c r="F304" s="78"/>
      <c r="G304" s="74"/>
      <c r="H304" s="76"/>
      <c r="I304" s="80"/>
      <c r="J304" s="11" t="str">
        <f>Matiere_premiere[[#This Row],[Entrepot]]</f>
        <v>E3</v>
      </c>
      <c r="K304" s="9" t="b">
        <f>IF(Matiere_premiere[[#This Row],[INVENTAIRE]]&gt;0,TRUE,FALSE)</f>
        <v>0</v>
      </c>
      <c r="L304" s="65"/>
      <c r="M304" s="13" t="s">
        <v>82</v>
      </c>
      <c r="N304" s="13" t="s">
        <v>218</v>
      </c>
      <c r="O304" s="13" t="s">
        <v>217</v>
      </c>
      <c r="P304" s="13" t="s">
        <v>216</v>
      </c>
      <c r="Q304" s="55" t="s">
        <v>69</v>
      </c>
      <c r="R304" s="13" t="s">
        <v>73</v>
      </c>
      <c r="S304" s="14">
        <v>0</v>
      </c>
      <c r="T304" s="14"/>
      <c r="U304" s="14"/>
      <c r="V304" s="14">
        <f>SUM(Matiere_premiere[[#This Row],[INVENTAIRE]],-Matiere_premiere[[#This Row],[Entrée]],-Matiere_premiere[[#This Row],[Sortis]])</f>
        <v>0</v>
      </c>
      <c r="W304" s="50" t="str">
        <f>CONCATENATE(Matiere_premiere[[#This Row],[CODE COLEUR]],"_",Matiere_premiere[[#This Row],[COULEUR]],"_",Matiere_premiere[[#This Row],[CODE FAB]],"_",Matiere_premiere[[#This Row],[Num de Lot]])</f>
        <v>C13_BLEU ROI_NM20-13.00_S2023</v>
      </c>
    </row>
    <row r="305" spans="1:23" ht="19.7" customHeight="1" thickBot="1" x14ac:dyDescent="0.3">
      <c r="A305" s="69"/>
      <c r="B305" s="72"/>
      <c r="C305" s="72"/>
      <c r="D305" s="75"/>
      <c r="E305" s="77"/>
      <c r="F305" s="79"/>
      <c r="G305" s="75"/>
      <c r="H305" s="77"/>
      <c r="I305" s="81"/>
      <c r="J305" s="10" t="str">
        <f>Matiere_premiere[[#This Row],[Entrepot]]</f>
        <v>Usine</v>
      </c>
      <c r="K305" s="9" t="b">
        <f>IF(Matiere_premiere[[#This Row],[INVENTAIRE]]&gt;0,TRUE,FALSE)</f>
        <v>1</v>
      </c>
      <c r="L305" s="66"/>
      <c r="M305" s="13" t="s">
        <v>82</v>
      </c>
      <c r="N305" s="13" t="s">
        <v>218</v>
      </c>
      <c r="O305" s="13" t="s">
        <v>217</v>
      </c>
      <c r="P305" s="13" t="s">
        <v>216</v>
      </c>
      <c r="Q305" s="55" t="s">
        <v>69</v>
      </c>
      <c r="R305" s="13" t="s">
        <v>68</v>
      </c>
      <c r="S305" s="14">
        <v>141</v>
      </c>
      <c r="T305" s="14"/>
      <c r="U305" s="14"/>
      <c r="V305" s="14">
        <f>SUM(Matiere_premiere[[#This Row],[INVENTAIRE]],-Matiere_premiere[[#This Row],[Entrée]],-Matiere_premiere[[#This Row],[Sortis]])</f>
        <v>141</v>
      </c>
      <c r="W305" s="50" t="str">
        <f>CONCATENATE(Matiere_premiere[[#This Row],[CODE COLEUR]],"_",Matiere_premiere[[#This Row],[COULEUR]],"_",Matiere_premiere[[#This Row],[CODE FAB]],"_",Matiere_premiere[[#This Row],[Num de Lot]])</f>
        <v>C13_BLEU ROI_NM20-13.00_S2023</v>
      </c>
    </row>
    <row r="306" spans="1:23" ht="19.7" customHeight="1" thickTop="1" thickBot="1" x14ac:dyDescent="0.3">
      <c r="A306" s="67" t="str">
        <f>Matiere_premiere[[#This Row],[NUMERO METRIQUE]]</f>
        <v>NM05</v>
      </c>
      <c r="B306" s="70" t="str">
        <f>Matiere_premiere[[#This Row],[COULEUR]]</f>
        <v>TURQUOISE</v>
      </c>
      <c r="C306" s="70" t="str">
        <f>Matiere_premiere[[#This Row],[CODE COLEUR]]</f>
        <v>C14</v>
      </c>
      <c r="D306" s="73" t="str">
        <f>Matiere_premiere[[#This Row],[CODE FAB]]</f>
        <v>NM05-14.00</v>
      </c>
      <c r="E306" s="76" t="e" vm="111">
        <f>_xlfn.IMAGE("https://api.qrserver.com/v1/create-qr-code/?size=100x100&amp;data=" &amp; D306)</f>
        <v>#VALUE!</v>
      </c>
      <c r="F306" s="78"/>
      <c r="G306" s="73">
        <f>Matiere_premiere[[#This Row],[Num de Lot]]</f>
        <v>60654</v>
      </c>
      <c r="H306" s="76" t="e" vm="112">
        <f>_xlfn.IMAGE("https://api.qrserver.com/v1/create-qr-code/?size=100x100&amp;data=" &amp; G306)</f>
        <v>#VALUE!</v>
      </c>
      <c r="I306" s="80"/>
      <c r="J306" s="12" t="str">
        <f>Matiere_premiere[[#This Row],[Entrepot]]</f>
        <v>E1</v>
      </c>
      <c r="K306" s="9" t="b">
        <f>IF(Matiere_premiere[[#This Row],[INVENTAIRE]]&gt;0,TRUE,FALSE)</f>
        <v>0</v>
      </c>
      <c r="L306" s="65"/>
      <c r="M306" s="8" t="s">
        <v>119</v>
      </c>
      <c r="N306" s="8" t="s">
        <v>215</v>
      </c>
      <c r="O306" s="8" t="s">
        <v>211</v>
      </c>
      <c r="P306" s="8" t="s">
        <v>214</v>
      </c>
      <c r="Q306" s="53">
        <v>60654</v>
      </c>
      <c r="R306" s="8" t="s">
        <v>75</v>
      </c>
      <c r="S306" s="7">
        <v>0</v>
      </c>
      <c r="T306" s="7"/>
      <c r="U306" s="7"/>
      <c r="V306" s="7">
        <f>SUM(Matiere_premiere[[#This Row],[INVENTAIRE]],-Matiere_premiere[[#This Row],[Entrée]],-Matiere_premiere[[#This Row],[Sortis]])</f>
        <v>0</v>
      </c>
      <c r="W306" s="50" t="str">
        <f>CONCATENATE(Matiere_premiere[[#This Row],[CODE COLEUR]],"_",Matiere_premiere[[#This Row],[COULEUR]],"_",Matiere_premiere[[#This Row],[CODE FAB]],"_",Matiere_premiere[[#This Row],[Num de Lot]])</f>
        <v>C14_TURQUOISE_NM05-14.00_60654</v>
      </c>
    </row>
    <row r="307" spans="1:23" ht="19.7" customHeight="1" thickBot="1" x14ac:dyDescent="0.3">
      <c r="A307" s="68"/>
      <c r="B307" s="71"/>
      <c r="C307" s="71"/>
      <c r="D307" s="74"/>
      <c r="E307" s="76"/>
      <c r="F307" s="78"/>
      <c r="G307" s="74"/>
      <c r="H307" s="76"/>
      <c r="I307" s="80"/>
      <c r="J307" s="11" t="str">
        <f>Matiere_premiere[[#This Row],[Entrepot]]</f>
        <v>E2</v>
      </c>
      <c r="K307" s="9" t="b">
        <f>IF(Matiere_premiere[[#This Row],[INVENTAIRE]]&gt;0,TRUE,FALSE)</f>
        <v>1</v>
      </c>
      <c r="L307" s="65"/>
      <c r="M307" s="8" t="s">
        <v>119</v>
      </c>
      <c r="N307" s="8" t="s">
        <v>215</v>
      </c>
      <c r="O307" s="8" t="s">
        <v>211</v>
      </c>
      <c r="P307" s="8" t="s">
        <v>214</v>
      </c>
      <c r="Q307" s="53">
        <v>60654</v>
      </c>
      <c r="R307" s="8" t="s">
        <v>74</v>
      </c>
      <c r="S307" s="7">
        <v>269.5</v>
      </c>
      <c r="T307" s="7"/>
      <c r="U307" s="7"/>
      <c r="V307" s="7">
        <f>SUM(Matiere_premiere[[#This Row],[INVENTAIRE]],-Matiere_premiere[[#This Row],[Entrée]],-Matiere_premiere[[#This Row],[Sortis]])</f>
        <v>269.5</v>
      </c>
      <c r="W307" s="50" t="str">
        <f>CONCATENATE(Matiere_premiere[[#This Row],[CODE COLEUR]],"_",Matiere_premiere[[#This Row],[COULEUR]],"_",Matiere_premiere[[#This Row],[CODE FAB]],"_",Matiere_premiere[[#This Row],[Num de Lot]])</f>
        <v>C14_TURQUOISE_NM05-14.00_60654</v>
      </c>
    </row>
    <row r="308" spans="1:23" ht="19.7" customHeight="1" thickBot="1" x14ac:dyDescent="0.3">
      <c r="A308" s="68"/>
      <c r="B308" s="71"/>
      <c r="C308" s="71"/>
      <c r="D308" s="74"/>
      <c r="E308" s="76"/>
      <c r="F308" s="78"/>
      <c r="G308" s="74"/>
      <c r="H308" s="76"/>
      <c r="I308" s="80"/>
      <c r="J308" s="11" t="str">
        <f>Matiere_premiere[[#This Row],[Entrepot]]</f>
        <v>E3</v>
      </c>
      <c r="K308" s="9" t="b">
        <f>IF(Matiere_premiere[[#This Row],[INVENTAIRE]]&gt;0,TRUE,FALSE)</f>
        <v>1</v>
      </c>
      <c r="L308" s="65"/>
      <c r="M308" s="8" t="s">
        <v>119</v>
      </c>
      <c r="N308" s="8" t="s">
        <v>215</v>
      </c>
      <c r="O308" s="8" t="s">
        <v>211</v>
      </c>
      <c r="P308" s="8" t="s">
        <v>214</v>
      </c>
      <c r="Q308" s="53">
        <v>60654</v>
      </c>
      <c r="R308" s="8" t="s">
        <v>73</v>
      </c>
      <c r="S308" s="7">
        <v>269.5</v>
      </c>
      <c r="T308" s="7"/>
      <c r="U308" s="7"/>
      <c r="V308" s="7">
        <f>SUM(Matiere_premiere[[#This Row],[INVENTAIRE]],-Matiere_premiere[[#This Row],[Entrée]],-Matiere_premiere[[#This Row],[Sortis]])</f>
        <v>269.5</v>
      </c>
      <c r="W308" s="50" t="str">
        <f>CONCATENATE(Matiere_premiere[[#This Row],[CODE COLEUR]],"_",Matiere_premiere[[#This Row],[COULEUR]],"_",Matiere_premiere[[#This Row],[CODE FAB]],"_",Matiere_premiere[[#This Row],[Num de Lot]])</f>
        <v>C14_TURQUOISE_NM05-14.00_60654</v>
      </c>
    </row>
    <row r="309" spans="1:23" ht="19.7" customHeight="1" thickBot="1" x14ac:dyDescent="0.3">
      <c r="A309" s="69"/>
      <c r="B309" s="72"/>
      <c r="C309" s="72"/>
      <c r="D309" s="75"/>
      <c r="E309" s="77"/>
      <c r="F309" s="79"/>
      <c r="G309" s="75"/>
      <c r="H309" s="77"/>
      <c r="I309" s="81"/>
      <c r="J309" s="10" t="str">
        <f>Matiere_premiere[[#This Row],[Entrepot]]</f>
        <v>Usine</v>
      </c>
      <c r="K309" s="9" t="b">
        <f>IF(Matiere_premiere[[#This Row],[INVENTAIRE]]&gt;0,TRUE,FALSE)</f>
        <v>0</v>
      </c>
      <c r="L309" s="66"/>
      <c r="M309" s="8" t="s">
        <v>119</v>
      </c>
      <c r="N309" s="8" t="s">
        <v>215</v>
      </c>
      <c r="O309" s="8" t="s">
        <v>211</v>
      </c>
      <c r="P309" s="8" t="s">
        <v>214</v>
      </c>
      <c r="Q309" s="53">
        <v>60654</v>
      </c>
      <c r="R309" s="8" t="s">
        <v>68</v>
      </c>
      <c r="S309" s="7">
        <v>0</v>
      </c>
      <c r="T309" s="7"/>
      <c r="U309" s="7"/>
      <c r="V309" s="7">
        <f>SUM(Matiere_premiere[[#This Row],[INVENTAIRE]],-Matiere_premiere[[#This Row],[Entrée]],-Matiere_premiere[[#This Row],[Sortis]])</f>
        <v>0</v>
      </c>
      <c r="W309" s="50" t="str">
        <f>CONCATENATE(Matiere_premiere[[#This Row],[CODE COLEUR]],"_",Matiere_premiere[[#This Row],[COULEUR]],"_",Matiere_premiere[[#This Row],[CODE FAB]],"_",Matiere_premiere[[#This Row],[Num de Lot]])</f>
        <v>C14_TURQUOISE_NM05-14.00_60654</v>
      </c>
    </row>
    <row r="310" spans="1:23" ht="19.7" customHeight="1" thickTop="1" thickBot="1" x14ac:dyDescent="0.3">
      <c r="A310" s="67" t="str">
        <f>Matiere_premiere[[#This Row],[NUMERO METRIQUE]]</f>
        <v>NM15</v>
      </c>
      <c r="B310" s="70" t="str">
        <f>Matiere_premiere[[#This Row],[COULEUR]]</f>
        <v>BLEU TURQUOISE</v>
      </c>
      <c r="C310" s="70" t="str">
        <f>Matiere_premiere[[#This Row],[CODE COLEUR]]</f>
        <v>C14</v>
      </c>
      <c r="D310" s="73" t="str">
        <f>Matiere_premiere[[#This Row],[CODE FAB]]</f>
        <v>NM15-14.00</v>
      </c>
      <c r="E310" s="76" t="e" vm="113">
        <f>_xlfn.IMAGE("https://api.qrserver.com/v1/create-qr-code/?size=100x100&amp;data=" &amp; D310)</f>
        <v>#VALUE!</v>
      </c>
      <c r="F310" s="78"/>
      <c r="G310" s="73">
        <f>Matiere_premiere[[#This Row],[Num de Lot]]</f>
        <v>61597</v>
      </c>
      <c r="H310" s="76" t="e" vm="114">
        <f>_xlfn.IMAGE("https://api.qrserver.com/v1/create-qr-code/?size=100x100&amp;data=" &amp; G310)</f>
        <v>#VALUE!</v>
      </c>
      <c r="I310" s="80"/>
      <c r="J310" s="12" t="str">
        <f>Matiere_premiere[[#This Row],[Entrepot]]</f>
        <v>E1</v>
      </c>
      <c r="K310" s="9" t="b">
        <f>IF(Matiere_premiere[[#This Row],[INVENTAIRE]]&gt;0,TRUE,FALSE)</f>
        <v>0</v>
      </c>
      <c r="L310" s="65"/>
      <c r="M310" s="13" t="s">
        <v>103</v>
      </c>
      <c r="N310" s="13" t="s">
        <v>212</v>
      </c>
      <c r="O310" s="13" t="s">
        <v>211</v>
      </c>
      <c r="P310" s="13" t="s">
        <v>213</v>
      </c>
      <c r="Q310" s="55">
        <v>61597</v>
      </c>
      <c r="R310" s="13" t="s">
        <v>75</v>
      </c>
      <c r="S310" s="14">
        <v>0</v>
      </c>
      <c r="T310" s="14"/>
      <c r="U310" s="14"/>
      <c r="V310" s="14">
        <f>SUM(Matiere_premiere[[#This Row],[INVENTAIRE]],-Matiere_premiere[[#This Row],[Entrée]],-Matiere_premiere[[#This Row],[Sortis]])</f>
        <v>0</v>
      </c>
      <c r="W310" s="50" t="str">
        <f>CONCATENATE(Matiere_premiere[[#This Row],[CODE COLEUR]],"_",Matiere_premiere[[#This Row],[COULEUR]],"_",Matiere_premiere[[#This Row],[CODE FAB]],"_",Matiere_premiere[[#This Row],[Num de Lot]])</f>
        <v>C14_BLEU TURQUOISE_NM15-14.00_61597</v>
      </c>
    </row>
    <row r="311" spans="1:23" ht="19.7" customHeight="1" thickBot="1" x14ac:dyDescent="0.3">
      <c r="A311" s="68"/>
      <c r="B311" s="71"/>
      <c r="C311" s="71"/>
      <c r="D311" s="74"/>
      <c r="E311" s="76"/>
      <c r="F311" s="78"/>
      <c r="G311" s="74"/>
      <c r="H311" s="76"/>
      <c r="I311" s="80"/>
      <c r="J311" s="11" t="str">
        <f>Matiere_premiere[[#This Row],[Entrepot]]</f>
        <v>E2</v>
      </c>
      <c r="K311" s="9" t="b">
        <f>IF(Matiere_premiere[[#This Row],[INVENTAIRE]]&gt;0,TRUE,FALSE)</f>
        <v>0</v>
      </c>
      <c r="L311" s="65"/>
      <c r="M311" s="13" t="s">
        <v>103</v>
      </c>
      <c r="N311" s="13" t="s">
        <v>212</v>
      </c>
      <c r="O311" s="13" t="s">
        <v>211</v>
      </c>
      <c r="P311" s="13" t="s">
        <v>213</v>
      </c>
      <c r="Q311" s="55">
        <v>61597</v>
      </c>
      <c r="R311" s="13" t="s">
        <v>74</v>
      </c>
      <c r="S311" s="14">
        <v>0</v>
      </c>
      <c r="T311" s="14"/>
      <c r="U311" s="14"/>
      <c r="V311" s="14">
        <f>SUM(Matiere_premiere[[#This Row],[INVENTAIRE]],-Matiere_premiere[[#This Row],[Entrée]],-Matiere_premiere[[#This Row],[Sortis]])</f>
        <v>0</v>
      </c>
      <c r="W311" s="50" t="str">
        <f>CONCATENATE(Matiere_premiere[[#This Row],[CODE COLEUR]],"_",Matiere_premiere[[#This Row],[COULEUR]],"_",Matiere_premiere[[#This Row],[CODE FAB]],"_",Matiere_premiere[[#This Row],[Num de Lot]])</f>
        <v>C14_BLEU TURQUOISE_NM15-14.00_61597</v>
      </c>
    </row>
    <row r="312" spans="1:23" ht="19.7" customHeight="1" thickBot="1" x14ac:dyDescent="0.3">
      <c r="A312" s="68"/>
      <c r="B312" s="71"/>
      <c r="C312" s="71"/>
      <c r="D312" s="74"/>
      <c r="E312" s="76"/>
      <c r="F312" s="78"/>
      <c r="G312" s="74"/>
      <c r="H312" s="76"/>
      <c r="I312" s="80"/>
      <c r="J312" s="11" t="str">
        <f>Matiere_premiere[[#This Row],[Entrepot]]</f>
        <v>E3</v>
      </c>
      <c r="K312" s="9" t="b">
        <f>IF(Matiere_premiere[[#This Row],[INVENTAIRE]]&gt;0,TRUE,FALSE)</f>
        <v>0</v>
      </c>
      <c r="L312" s="65"/>
      <c r="M312" s="13" t="s">
        <v>103</v>
      </c>
      <c r="N312" s="13" t="s">
        <v>212</v>
      </c>
      <c r="O312" s="13" t="s">
        <v>211</v>
      </c>
      <c r="P312" s="13" t="s">
        <v>213</v>
      </c>
      <c r="Q312" s="55">
        <v>61597</v>
      </c>
      <c r="R312" s="13" t="s">
        <v>73</v>
      </c>
      <c r="S312" s="14">
        <v>0</v>
      </c>
      <c r="T312" s="14"/>
      <c r="U312" s="14"/>
      <c r="V312" s="14">
        <f>SUM(Matiere_premiere[[#This Row],[INVENTAIRE]],-Matiere_premiere[[#This Row],[Entrée]],-Matiere_premiere[[#This Row],[Sortis]])</f>
        <v>0</v>
      </c>
      <c r="W312" s="50" t="str">
        <f>CONCATENATE(Matiere_premiere[[#This Row],[CODE COLEUR]],"_",Matiere_premiere[[#This Row],[COULEUR]],"_",Matiere_premiere[[#This Row],[CODE FAB]],"_",Matiere_premiere[[#This Row],[Num de Lot]])</f>
        <v>C14_BLEU TURQUOISE_NM15-14.00_61597</v>
      </c>
    </row>
    <row r="313" spans="1:23" ht="19.7" customHeight="1" thickBot="1" x14ac:dyDescent="0.3">
      <c r="A313" s="69"/>
      <c r="B313" s="72"/>
      <c r="C313" s="72"/>
      <c r="D313" s="75"/>
      <c r="E313" s="77"/>
      <c r="F313" s="79"/>
      <c r="G313" s="75"/>
      <c r="H313" s="77"/>
      <c r="I313" s="81"/>
      <c r="J313" s="10" t="str">
        <f>Matiere_premiere[[#This Row],[Entrepot]]</f>
        <v>Usine</v>
      </c>
      <c r="K313" s="9" t="b">
        <f>IF(Matiere_premiere[[#This Row],[INVENTAIRE]]&gt;0,TRUE,FALSE)</f>
        <v>1</v>
      </c>
      <c r="L313" s="66"/>
      <c r="M313" s="13" t="s">
        <v>103</v>
      </c>
      <c r="N313" s="13" t="s">
        <v>212</v>
      </c>
      <c r="O313" s="13" t="s">
        <v>211</v>
      </c>
      <c r="P313" s="13" t="s">
        <v>213</v>
      </c>
      <c r="Q313" s="55">
        <v>61597</v>
      </c>
      <c r="R313" s="13" t="s">
        <v>68</v>
      </c>
      <c r="S313" s="14">
        <v>59</v>
      </c>
      <c r="T313" s="14"/>
      <c r="U313" s="14"/>
      <c r="V313" s="14">
        <f>SUM(Matiere_premiere[[#This Row],[INVENTAIRE]],-Matiere_premiere[[#This Row],[Entrée]],-Matiere_premiere[[#This Row],[Sortis]])</f>
        <v>59</v>
      </c>
      <c r="W313" s="50" t="str">
        <f>CONCATENATE(Matiere_premiere[[#This Row],[CODE COLEUR]],"_",Matiere_premiere[[#This Row],[COULEUR]],"_",Matiere_premiere[[#This Row],[CODE FAB]],"_",Matiere_premiere[[#This Row],[Num de Lot]])</f>
        <v>C14_BLEU TURQUOISE_NM15-14.00_61597</v>
      </c>
    </row>
    <row r="314" spans="1:23" ht="19.7" customHeight="1" thickTop="1" thickBot="1" x14ac:dyDescent="0.3">
      <c r="A314" s="67" t="str">
        <f>Matiere_premiere[[#This Row],[NUMERO METRIQUE]]</f>
        <v>NM15</v>
      </c>
      <c r="B314" s="70" t="str">
        <f>Matiere_premiere[[#This Row],[COULEUR]]</f>
        <v>BLEU TURQUOISE</v>
      </c>
      <c r="C314" s="70" t="str">
        <f>Matiere_premiere[[#This Row],[CODE COLEUR]]</f>
        <v>C14</v>
      </c>
      <c r="D314" s="73" t="str">
        <f>Matiere_premiere[[#This Row],[CODE FAB]]</f>
        <v>NM15-14.00</v>
      </c>
      <c r="E314" s="76" t="e" vm="113">
        <f>_xlfn.IMAGE("https://api.qrserver.com/v1/create-qr-code/?size=100x100&amp;data=" &amp; D314)</f>
        <v>#VALUE!</v>
      </c>
      <c r="F314" s="78"/>
      <c r="G314" s="73">
        <f>Matiere_premiere[[#This Row],[Num de Lot]]</f>
        <v>65369</v>
      </c>
      <c r="H314" s="76" t="e" vm="115">
        <f>_xlfn.IMAGE("https://api.qrserver.com/v1/create-qr-code/?size=100x100&amp;data=" &amp; G314)</f>
        <v>#VALUE!</v>
      </c>
      <c r="I314" s="80"/>
      <c r="J314" s="12" t="str">
        <f>Matiere_premiere[[#This Row],[Entrepot]]</f>
        <v>E1</v>
      </c>
      <c r="K314" s="9" t="b">
        <f>IF(Matiere_premiere[[#This Row],[INVENTAIRE]]&gt;0,TRUE,FALSE)</f>
        <v>0</v>
      </c>
      <c r="L314" s="65"/>
      <c r="M314" s="15" t="s">
        <v>103</v>
      </c>
      <c r="N314" s="15" t="s">
        <v>212</v>
      </c>
      <c r="O314" s="15" t="s">
        <v>211</v>
      </c>
      <c r="P314" s="15" t="s">
        <v>213</v>
      </c>
      <c r="Q314" s="56">
        <v>65369</v>
      </c>
      <c r="R314" s="8" t="s">
        <v>75</v>
      </c>
      <c r="S314" s="7">
        <v>0</v>
      </c>
      <c r="T314" s="7"/>
      <c r="U314" s="7"/>
      <c r="V314" s="7">
        <f>SUM(Matiere_premiere[[#This Row],[INVENTAIRE]],-Matiere_premiere[[#This Row],[Entrée]],-Matiere_premiere[[#This Row],[Sortis]])</f>
        <v>0</v>
      </c>
      <c r="W314" s="50" t="str">
        <f>CONCATENATE(Matiere_premiere[[#This Row],[CODE COLEUR]],"_",Matiere_premiere[[#This Row],[COULEUR]],"_",Matiere_premiere[[#This Row],[CODE FAB]],"_",Matiere_premiere[[#This Row],[Num de Lot]])</f>
        <v>C14_BLEU TURQUOISE_NM15-14.00_65369</v>
      </c>
    </row>
    <row r="315" spans="1:23" ht="19.7" customHeight="1" thickBot="1" x14ac:dyDescent="0.3">
      <c r="A315" s="68"/>
      <c r="B315" s="71"/>
      <c r="C315" s="71"/>
      <c r="D315" s="74"/>
      <c r="E315" s="76"/>
      <c r="F315" s="78"/>
      <c r="G315" s="74"/>
      <c r="H315" s="76"/>
      <c r="I315" s="80"/>
      <c r="J315" s="11" t="str">
        <f>Matiere_premiere[[#This Row],[Entrepot]]</f>
        <v>E2</v>
      </c>
      <c r="K315" s="9" t="b">
        <f>IF(Matiere_premiere[[#This Row],[INVENTAIRE]]&gt;0,TRUE,FALSE)</f>
        <v>0</v>
      </c>
      <c r="L315" s="65"/>
      <c r="M315" s="15" t="s">
        <v>103</v>
      </c>
      <c r="N315" s="15" t="s">
        <v>212</v>
      </c>
      <c r="O315" s="15" t="s">
        <v>211</v>
      </c>
      <c r="P315" s="15" t="s">
        <v>213</v>
      </c>
      <c r="Q315" s="56">
        <v>65369</v>
      </c>
      <c r="R315" s="8" t="s">
        <v>74</v>
      </c>
      <c r="S315" s="7">
        <v>0</v>
      </c>
      <c r="T315" s="7"/>
      <c r="U315" s="7"/>
      <c r="V315" s="7">
        <f>SUM(Matiere_premiere[[#This Row],[INVENTAIRE]],-Matiere_premiere[[#This Row],[Entrée]],-Matiere_premiere[[#This Row],[Sortis]])</f>
        <v>0</v>
      </c>
      <c r="W315" s="50" t="str">
        <f>CONCATENATE(Matiere_premiere[[#This Row],[CODE COLEUR]],"_",Matiere_premiere[[#This Row],[COULEUR]],"_",Matiere_premiere[[#This Row],[CODE FAB]],"_",Matiere_premiere[[#This Row],[Num de Lot]])</f>
        <v>C14_BLEU TURQUOISE_NM15-14.00_65369</v>
      </c>
    </row>
    <row r="316" spans="1:23" ht="19.7" customHeight="1" thickBot="1" x14ac:dyDescent="0.3">
      <c r="A316" s="68"/>
      <c r="B316" s="71"/>
      <c r="C316" s="71"/>
      <c r="D316" s="74"/>
      <c r="E316" s="76"/>
      <c r="F316" s="78"/>
      <c r="G316" s="74"/>
      <c r="H316" s="76"/>
      <c r="I316" s="80"/>
      <c r="J316" s="11" t="str">
        <f>Matiere_premiere[[#This Row],[Entrepot]]</f>
        <v>E3</v>
      </c>
      <c r="K316" s="9" t="b">
        <f>IF(Matiere_premiere[[#This Row],[INVENTAIRE]]&gt;0,TRUE,FALSE)</f>
        <v>0</v>
      </c>
      <c r="L316" s="65"/>
      <c r="M316" s="15" t="s">
        <v>103</v>
      </c>
      <c r="N316" s="15" t="s">
        <v>212</v>
      </c>
      <c r="O316" s="15" t="s">
        <v>211</v>
      </c>
      <c r="P316" s="15" t="s">
        <v>213</v>
      </c>
      <c r="Q316" s="56">
        <v>65369</v>
      </c>
      <c r="R316" s="8" t="s">
        <v>73</v>
      </c>
      <c r="S316" s="7">
        <v>0</v>
      </c>
      <c r="T316" s="7"/>
      <c r="U316" s="7"/>
      <c r="V316" s="7">
        <f>SUM(Matiere_premiere[[#This Row],[INVENTAIRE]],-Matiere_premiere[[#This Row],[Entrée]],-Matiere_premiere[[#This Row],[Sortis]])</f>
        <v>0</v>
      </c>
      <c r="W316" s="50" t="str">
        <f>CONCATENATE(Matiere_premiere[[#This Row],[CODE COLEUR]],"_",Matiere_premiere[[#This Row],[COULEUR]],"_",Matiere_premiere[[#This Row],[CODE FAB]],"_",Matiere_premiere[[#This Row],[Num de Lot]])</f>
        <v>C14_BLEU TURQUOISE_NM15-14.00_65369</v>
      </c>
    </row>
    <row r="317" spans="1:23" ht="19.7" customHeight="1" thickBot="1" x14ac:dyDescent="0.3">
      <c r="A317" s="69"/>
      <c r="B317" s="72"/>
      <c r="C317" s="72"/>
      <c r="D317" s="75"/>
      <c r="E317" s="77"/>
      <c r="F317" s="79"/>
      <c r="G317" s="75"/>
      <c r="H317" s="77"/>
      <c r="I317" s="81"/>
      <c r="J317" s="10" t="str">
        <f>Matiere_premiere[[#This Row],[Entrepot]]</f>
        <v>Usine</v>
      </c>
      <c r="K317" s="9" t="b">
        <f>IF(Matiere_premiere[[#This Row],[INVENTAIRE]]&gt;0,TRUE,FALSE)</f>
        <v>0</v>
      </c>
      <c r="L317" s="66"/>
      <c r="M317" s="8" t="s">
        <v>103</v>
      </c>
      <c r="N317" s="8" t="s">
        <v>212</v>
      </c>
      <c r="O317" s="8" t="s">
        <v>211</v>
      </c>
      <c r="P317" s="8" t="s">
        <v>213</v>
      </c>
      <c r="Q317" s="53">
        <v>65369</v>
      </c>
      <c r="R317" s="8" t="s">
        <v>68</v>
      </c>
      <c r="S317" s="7">
        <v>0</v>
      </c>
      <c r="T317" s="7"/>
      <c r="U317" s="7"/>
      <c r="V317" s="7">
        <f>SUM(Matiere_premiere[[#This Row],[INVENTAIRE]],-Matiere_premiere[[#This Row],[Entrée]],-Matiere_premiere[[#This Row],[Sortis]])</f>
        <v>0</v>
      </c>
      <c r="W317" s="50" t="str">
        <f>CONCATENATE(Matiere_premiere[[#This Row],[CODE COLEUR]],"_",Matiere_premiere[[#This Row],[COULEUR]],"_",Matiere_premiere[[#This Row],[CODE FAB]],"_",Matiere_premiere[[#This Row],[Num de Lot]])</f>
        <v>C14_BLEU TURQUOISE_NM15-14.00_65369</v>
      </c>
    </row>
    <row r="318" spans="1:23" ht="19.7" customHeight="1" thickTop="1" thickBot="1" x14ac:dyDescent="0.3">
      <c r="A318" s="67" t="str">
        <f>Matiere_premiere[[#This Row],[NUMERO METRIQUE]]</f>
        <v>NM20</v>
      </c>
      <c r="B318" s="70" t="str">
        <f>Matiere_premiere[[#This Row],[COULEUR]]</f>
        <v>BLEU TURQUOISE</v>
      </c>
      <c r="C318" s="70" t="str">
        <f>Matiere_premiere[[#This Row],[CODE COLEUR]]</f>
        <v>C14</v>
      </c>
      <c r="D318" s="73" t="str">
        <f>Matiere_premiere[[#This Row],[CODE FAB]]</f>
        <v>NM20-14.01</v>
      </c>
      <c r="E318" s="76" t="e" vm="116">
        <f>_xlfn.IMAGE("https://api.qrserver.com/v1/create-qr-code/?size=100x100&amp;data=" &amp; D318)</f>
        <v>#VALUE!</v>
      </c>
      <c r="F318" s="78"/>
      <c r="G318" s="73" t="str">
        <f>Matiere_premiere[[#This Row],[Num de Lot]]</f>
        <v>S2023</v>
      </c>
      <c r="H318" s="76" t="e" vm="2">
        <f>_xlfn.IMAGE("https://api.qrserver.com/v1/create-qr-code/?size=100x100&amp;data=" &amp; G318)</f>
        <v>#VALUE!</v>
      </c>
      <c r="I318" s="80"/>
      <c r="J318" s="12" t="str">
        <f>Matiere_premiere[[#This Row],[Entrepot]]</f>
        <v>E1</v>
      </c>
      <c r="K318" s="9" t="b">
        <f>IF(Matiere_premiere[[#This Row],[INVENTAIRE]]&gt;0,TRUE,FALSE)</f>
        <v>1</v>
      </c>
      <c r="L318" s="65"/>
      <c r="M318" s="13" t="s">
        <v>82</v>
      </c>
      <c r="N318" s="13" t="s">
        <v>212</v>
      </c>
      <c r="O318" s="13" t="s">
        <v>211</v>
      </c>
      <c r="P318" s="13" t="s">
        <v>210</v>
      </c>
      <c r="Q318" s="55" t="s">
        <v>69</v>
      </c>
      <c r="R318" s="13" t="s">
        <v>75</v>
      </c>
      <c r="S318" s="14">
        <v>27.5</v>
      </c>
      <c r="T318" s="14"/>
      <c r="U318" s="14"/>
      <c r="V318" s="14">
        <f>SUM(Matiere_premiere[[#This Row],[INVENTAIRE]],-Matiere_premiere[[#This Row],[Entrée]],-Matiere_premiere[[#This Row],[Sortis]])</f>
        <v>27.5</v>
      </c>
      <c r="W318" s="50" t="str">
        <f>CONCATENATE(Matiere_premiere[[#This Row],[CODE COLEUR]],"_",Matiere_premiere[[#This Row],[COULEUR]],"_",Matiere_premiere[[#This Row],[CODE FAB]],"_",Matiere_premiere[[#This Row],[Num de Lot]])</f>
        <v>C14_BLEU TURQUOISE_NM20-14.01_S2023</v>
      </c>
    </row>
    <row r="319" spans="1:23" ht="19.7" customHeight="1" thickBot="1" x14ac:dyDescent="0.3">
      <c r="A319" s="68"/>
      <c r="B319" s="71"/>
      <c r="C319" s="71"/>
      <c r="D319" s="74"/>
      <c r="E319" s="76"/>
      <c r="F319" s="78"/>
      <c r="G319" s="74"/>
      <c r="H319" s="76"/>
      <c r="I319" s="80"/>
      <c r="J319" s="11" t="str">
        <f>Matiere_premiere[[#This Row],[Entrepot]]</f>
        <v>E2</v>
      </c>
      <c r="K319" s="9" t="b">
        <f>IF(Matiere_premiere[[#This Row],[INVENTAIRE]]&gt;0,TRUE,FALSE)</f>
        <v>0</v>
      </c>
      <c r="L319" s="65"/>
      <c r="M319" s="13" t="s">
        <v>82</v>
      </c>
      <c r="N319" s="13" t="s">
        <v>212</v>
      </c>
      <c r="O319" s="13" t="s">
        <v>211</v>
      </c>
      <c r="P319" s="13" t="s">
        <v>210</v>
      </c>
      <c r="Q319" s="55" t="s">
        <v>69</v>
      </c>
      <c r="R319" s="13" t="s">
        <v>74</v>
      </c>
      <c r="S319" s="14">
        <v>0</v>
      </c>
      <c r="T319" s="14"/>
      <c r="U319" s="14"/>
      <c r="V319" s="14">
        <f>SUM(Matiere_premiere[[#This Row],[INVENTAIRE]],-Matiere_premiere[[#This Row],[Entrée]],-Matiere_premiere[[#This Row],[Sortis]])</f>
        <v>0</v>
      </c>
      <c r="W319" s="50" t="str">
        <f>CONCATENATE(Matiere_premiere[[#This Row],[CODE COLEUR]],"_",Matiere_premiere[[#This Row],[COULEUR]],"_",Matiere_premiere[[#This Row],[CODE FAB]],"_",Matiere_premiere[[#This Row],[Num de Lot]])</f>
        <v>C14_BLEU TURQUOISE_NM20-14.01_S2023</v>
      </c>
    </row>
    <row r="320" spans="1:23" ht="19.7" customHeight="1" thickBot="1" x14ac:dyDescent="0.3">
      <c r="A320" s="68"/>
      <c r="B320" s="71"/>
      <c r="C320" s="71"/>
      <c r="D320" s="74"/>
      <c r="E320" s="76"/>
      <c r="F320" s="78"/>
      <c r="G320" s="74"/>
      <c r="H320" s="76"/>
      <c r="I320" s="80"/>
      <c r="J320" s="11" t="str">
        <f>Matiere_premiere[[#This Row],[Entrepot]]</f>
        <v>E3</v>
      </c>
      <c r="K320" s="9" t="b">
        <f>IF(Matiere_premiere[[#This Row],[INVENTAIRE]]&gt;0,TRUE,FALSE)</f>
        <v>0</v>
      </c>
      <c r="L320" s="65"/>
      <c r="M320" s="13" t="s">
        <v>82</v>
      </c>
      <c r="N320" s="13" t="s">
        <v>212</v>
      </c>
      <c r="O320" s="13" t="s">
        <v>211</v>
      </c>
      <c r="P320" s="13" t="s">
        <v>210</v>
      </c>
      <c r="Q320" s="55" t="s">
        <v>69</v>
      </c>
      <c r="R320" s="13" t="s">
        <v>73</v>
      </c>
      <c r="S320" s="14">
        <v>0</v>
      </c>
      <c r="T320" s="14"/>
      <c r="U320" s="14"/>
      <c r="V320" s="14">
        <f>SUM(Matiere_premiere[[#This Row],[INVENTAIRE]],-Matiere_premiere[[#This Row],[Entrée]],-Matiere_premiere[[#This Row],[Sortis]])</f>
        <v>0</v>
      </c>
      <c r="W320" s="50" t="str">
        <f>CONCATENATE(Matiere_premiere[[#This Row],[CODE COLEUR]],"_",Matiere_premiere[[#This Row],[COULEUR]],"_",Matiere_premiere[[#This Row],[CODE FAB]],"_",Matiere_premiere[[#This Row],[Num de Lot]])</f>
        <v>C14_BLEU TURQUOISE_NM20-14.01_S2023</v>
      </c>
    </row>
    <row r="321" spans="1:23" ht="19.7" customHeight="1" thickBot="1" x14ac:dyDescent="0.3">
      <c r="A321" s="69"/>
      <c r="B321" s="72"/>
      <c r="C321" s="72"/>
      <c r="D321" s="75"/>
      <c r="E321" s="77"/>
      <c r="F321" s="79"/>
      <c r="G321" s="75"/>
      <c r="H321" s="77"/>
      <c r="I321" s="81"/>
      <c r="J321" s="10" t="str">
        <f>Matiere_premiere[[#This Row],[Entrepot]]</f>
        <v>Usine</v>
      </c>
      <c r="K321" s="9" t="b">
        <f>IF(Matiere_premiere[[#This Row],[INVENTAIRE]]&gt;0,TRUE,FALSE)</f>
        <v>0</v>
      </c>
      <c r="L321" s="66"/>
      <c r="M321" s="13" t="s">
        <v>82</v>
      </c>
      <c r="N321" s="13" t="s">
        <v>212</v>
      </c>
      <c r="O321" s="13" t="s">
        <v>211</v>
      </c>
      <c r="P321" s="13" t="s">
        <v>210</v>
      </c>
      <c r="Q321" s="55" t="s">
        <v>69</v>
      </c>
      <c r="R321" s="13" t="s">
        <v>68</v>
      </c>
      <c r="S321" s="14">
        <v>0</v>
      </c>
      <c r="T321" s="14"/>
      <c r="U321" s="14"/>
      <c r="V321" s="14">
        <f>SUM(Matiere_premiere[[#This Row],[INVENTAIRE]],-Matiere_premiere[[#This Row],[Entrée]],-Matiere_premiere[[#This Row],[Sortis]])</f>
        <v>0</v>
      </c>
      <c r="W321" s="50" t="str">
        <f>CONCATENATE(Matiere_premiere[[#This Row],[CODE COLEUR]],"_",Matiere_premiere[[#This Row],[COULEUR]],"_",Matiere_premiere[[#This Row],[CODE FAB]],"_",Matiere_premiere[[#This Row],[Num de Lot]])</f>
        <v>C14_BLEU TURQUOISE_NM20-14.01_S2023</v>
      </c>
    </row>
    <row r="322" spans="1:23" ht="19.7" customHeight="1" thickTop="1" thickBot="1" x14ac:dyDescent="0.3">
      <c r="A322" s="67" t="str">
        <f>Matiere_premiere[[#This Row],[NUMERO METRIQUE]]</f>
        <v>NM15</v>
      </c>
      <c r="B322" s="70" t="str">
        <f>Matiere_premiere[[#This Row],[COULEUR]]</f>
        <v>LAGON</v>
      </c>
      <c r="C322" s="70" t="str">
        <f>Matiere_premiere[[#This Row],[CODE COLEUR]]</f>
        <v>C15</v>
      </c>
      <c r="D322" s="73" t="str">
        <f>Matiere_premiere[[#This Row],[CODE FAB]]</f>
        <v>NM15-15.00</v>
      </c>
      <c r="E322" s="76" t="e" vm="117">
        <f>_xlfn.IMAGE("https://api.qrserver.com/v1/create-qr-code/?size=100x100&amp;data=" &amp; D322)</f>
        <v>#VALUE!</v>
      </c>
      <c r="F322" s="78"/>
      <c r="G322" s="73">
        <f>Matiere_premiere[[#This Row],[Num de Lot]]</f>
        <v>61645</v>
      </c>
      <c r="H322" s="76" t="e" vm="118">
        <f>_xlfn.IMAGE("https://api.qrserver.com/v1/create-qr-code/?size=100x100&amp;data=" &amp; G322)</f>
        <v>#VALUE!</v>
      </c>
      <c r="I322" s="80"/>
      <c r="J322" s="12" t="str">
        <f>Matiere_premiere[[#This Row],[Entrepot]]</f>
        <v>E1</v>
      </c>
      <c r="K322" s="9" t="b">
        <f>IF(Matiere_premiere[[#This Row],[INVENTAIRE]]&gt;0,TRUE,FALSE)</f>
        <v>0</v>
      </c>
      <c r="L322" s="65"/>
      <c r="M322" s="8" t="s">
        <v>103</v>
      </c>
      <c r="N322" s="8" t="s">
        <v>208</v>
      </c>
      <c r="O322" s="8" t="s">
        <v>207</v>
      </c>
      <c r="P322" s="8" t="s">
        <v>209</v>
      </c>
      <c r="Q322" s="53">
        <v>61645</v>
      </c>
      <c r="R322" s="8" t="s">
        <v>75</v>
      </c>
      <c r="S322" s="7">
        <v>0</v>
      </c>
      <c r="T322" s="7"/>
      <c r="U322" s="7"/>
      <c r="V322" s="7">
        <f>SUM(Matiere_premiere[[#This Row],[INVENTAIRE]],-Matiere_premiere[[#This Row],[Entrée]],-Matiere_premiere[[#This Row],[Sortis]])</f>
        <v>0</v>
      </c>
      <c r="W322" s="50" t="str">
        <f>CONCATENATE(Matiere_premiere[[#This Row],[CODE COLEUR]],"_",Matiere_premiere[[#This Row],[COULEUR]],"_",Matiere_premiere[[#This Row],[CODE FAB]],"_",Matiere_premiere[[#This Row],[Num de Lot]])</f>
        <v>C15_LAGON_NM15-15.00_61645</v>
      </c>
    </row>
    <row r="323" spans="1:23" ht="19.7" customHeight="1" thickBot="1" x14ac:dyDescent="0.3">
      <c r="A323" s="68"/>
      <c r="B323" s="71"/>
      <c r="C323" s="71"/>
      <c r="D323" s="74"/>
      <c r="E323" s="76"/>
      <c r="F323" s="78"/>
      <c r="G323" s="74"/>
      <c r="H323" s="76"/>
      <c r="I323" s="80"/>
      <c r="J323" s="11" t="str">
        <f>Matiere_premiere[[#This Row],[Entrepot]]</f>
        <v>E2</v>
      </c>
      <c r="K323" s="9" t="b">
        <f>IF(Matiere_premiere[[#This Row],[INVENTAIRE]]&gt;0,TRUE,FALSE)</f>
        <v>0</v>
      </c>
      <c r="L323" s="65"/>
      <c r="M323" s="8" t="s">
        <v>103</v>
      </c>
      <c r="N323" s="8" t="s">
        <v>208</v>
      </c>
      <c r="O323" s="8" t="s">
        <v>207</v>
      </c>
      <c r="P323" s="8" t="s">
        <v>209</v>
      </c>
      <c r="Q323" s="53">
        <v>61645</v>
      </c>
      <c r="R323" s="8" t="s">
        <v>74</v>
      </c>
      <c r="S323" s="7">
        <v>0</v>
      </c>
      <c r="T323" s="7"/>
      <c r="U323" s="7"/>
      <c r="V323" s="7">
        <f>SUM(Matiere_premiere[[#This Row],[INVENTAIRE]],-Matiere_premiere[[#This Row],[Entrée]],-Matiere_premiere[[#This Row],[Sortis]])</f>
        <v>0</v>
      </c>
      <c r="W323" s="50" t="str">
        <f>CONCATENATE(Matiere_premiere[[#This Row],[CODE COLEUR]],"_",Matiere_premiere[[#This Row],[COULEUR]],"_",Matiere_premiere[[#This Row],[CODE FAB]],"_",Matiere_premiere[[#This Row],[Num de Lot]])</f>
        <v>C15_LAGON_NM15-15.00_61645</v>
      </c>
    </row>
    <row r="324" spans="1:23" ht="19.7" customHeight="1" thickBot="1" x14ac:dyDescent="0.3">
      <c r="A324" s="68"/>
      <c r="B324" s="71"/>
      <c r="C324" s="71"/>
      <c r="D324" s="74"/>
      <c r="E324" s="76"/>
      <c r="F324" s="78"/>
      <c r="G324" s="74"/>
      <c r="H324" s="76"/>
      <c r="I324" s="80"/>
      <c r="J324" s="11" t="str">
        <f>Matiere_premiere[[#This Row],[Entrepot]]</f>
        <v>E3</v>
      </c>
      <c r="K324" s="9" t="b">
        <f>IF(Matiere_premiere[[#This Row],[INVENTAIRE]]&gt;0,TRUE,FALSE)</f>
        <v>0</v>
      </c>
      <c r="L324" s="65"/>
      <c r="M324" s="8" t="s">
        <v>103</v>
      </c>
      <c r="N324" s="8" t="s">
        <v>208</v>
      </c>
      <c r="O324" s="8" t="s">
        <v>207</v>
      </c>
      <c r="P324" s="8" t="s">
        <v>209</v>
      </c>
      <c r="Q324" s="53">
        <v>61645</v>
      </c>
      <c r="R324" s="8" t="s">
        <v>73</v>
      </c>
      <c r="S324" s="7">
        <v>0</v>
      </c>
      <c r="T324" s="7"/>
      <c r="U324" s="7"/>
      <c r="V324" s="7">
        <f>SUM(Matiere_premiere[[#This Row],[INVENTAIRE]],-Matiere_premiere[[#This Row],[Entrée]],-Matiere_premiere[[#This Row],[Sortis]])</f>
        <v>0</v>
      </c>
      <c r="W324" s="50" t="str">
        <f>CONCATENATE(Matiere_premiere[[#This Row],[CODE COLEUR]],"_",Matiere_premiere[[#This Row],[COULEUR]],"_",Matiere_premiere[[#This Row],[CODE FAB]],"_",Matiere_premiere[[#This Row],[Num de Lot]])</f>
        <v>C15_LAGON_NM15-15.00_61645</v>
      </c>
    </row>
    <row r="325" spans="1:23" ht="19.7" customHeight="1" thickBot="1" x14ac:dyDescent="0.3">
      <c r="A325" s="69"/>
      <c r="B325" s="72"/>
      <c r="C325" s="72"/>
      <c r="D325" s="75"/>
      <c r="E325" s="77"/>
      <c r="F325" s="79"/>
      <c r="G325" s="75"/>
      <c r="H325" s="77"/>
      <c r="I325" s="81"/>
      <c r="J325" s="10" t="str">
        <f>Matiere_premiere[[#This Row],[Entrepot]]</f>
        <v>Usine</v>
      </c>
      <c r="K325" s="9" t="b">
        <f>IF(Matiere_premiere[[#This Row],[INVENTAIRE]]&gt;0,TRUE,FALSE)</f>
        <v>1</v>
      </c>
      <c r="L325" s="66"/>
      <c r="M325" s="8" t="s">
        <v>103</v>
      </c>
      <c r="N325" s="8" t="s">
        <v>208</v>
      </c>
      <c r="O325" s="8" t="s">
        <v>207</v>
      </c>
      <c r="P325" s="8" t="s">
        <v>209</v>
      </c>
      <c r="Q325" s="53">
        <v>61645</v>
      </c>
      <c r="R325" s="8" t="s">
        <v>68</v>
      </c>
      <c r="S325" s="7">
        <v>157</v>
      </c>
      <c r="T325" s="7"/>
      <c r="U325" s="7"/>
      <c r="V325" s="7">
        <f>SUM(Matiere_premiere[[#This Row],[INVENTAIRE]],-Matiere_premiere[[#This Row],[Entrée]],-Matiere_premiere[[#This Row],[Sortis]])</f>
        <v>157</v>
      </c>
      <c r="W325" s="50" t="str">
        <f>CONCATENATE(Matiere_premiere[[#This Row],[CODE COLEUR]],"_",Matiere_premiere[[#This Row],[COULEUR]],"_",Matiere_premiere[[#This Row],[CODE FAB]],"_",Matiere_premiere[[#This Row],[Num de Lot]])</f>
        <v>C15_LAGON_NM15-15.00_61645</v>
      </c>
    </row>
    <row r="326" spans="1:23" ht="19.7" customHeight="1" thickTop="1" thickBot="1" x14ac:dyDescent="0.3">
      <c r="A326" s="67" t="str">
        <f>Matiere_premiere[[#This Row],[NUMERO METRIQUE]]</f>
        <v>NM15</v>
      </c>
      <c r="B326" s="70" t="str">
        <f>Matiere_premiere[[#This Row],[COULEUR]]</f>
        <v>LAGON</v>
      </c>
      <c r="C326" s="70" t="str">
        <f>Matiere_premiere[[#This Row],[CODE COLEUR]]</f>
        <v>C15</v>
      </c>
      <c r="D326" s="73" t="str">
        <f>Matiere_premiere[[#This Row],[CODE FAB]]</f>
        <v>NM15-15.00</v>
      </c>
      <c r="E326" s="76" t="e" vm="117">
        <f>_xlfn.IMAGE("https://api.qrserver.com/v1/create-qr-code/?size=100x100&amp;data=" &amp; D326)</f>
        <v>#VALUE!</v>
      </c>
      <c r="F326" s="78"/>
      <c r="G326" s="73">
        <f>Matiere_premiere[[#This Row],[Num de Lot]]</f>
        <v>65425</v>
      </c>
      <c r="H326" s="76" t="e" vm="119">
        <f>_xlfn.IMAGE("https://api.qrserver.com/v1/create-qr-code/?size=100x100&amp;data=" &amp; G326)</f>
        <v>#VALUE!</v>
      </c>
      <c r="I326" s="80"/>
      <c r="J326" s="12" t="str">
        <f>Matiere_premiere[[#This Row],[Entrepot]]</f>
        <v>E1</v>
      </c>
      <c r="K326" s="9" t="b">
        <f>IF(Matiere_premiere[[#This Row],[INVENTAIRE]]&gt;0,TRUE,FALSE)</f>
        <v>0</v>
      </c>
      <c r="L326" s="65"/>
      <c r="M326" s="16" t="s">
        <v>103</v>
      </c>
      <c r="N326" s="16" t="s">
        <v>208</v>
      </c>
      <c r="O326" s="16" t="s">
        <v>207</v>
      </c>
      <c r="P326" s="16" t="s">
        <v>209</v>
      </c>
      <c r="Q326" s="54">
        <v>65425</v>
      </c>
      <c r="R326" s="13" t="s">
        <v>75</v>
      </c>
      <c r="S326" s="14">
        <v>0</v>
      </c>
      <c r="T326" s="14"/>
      <c r="U326" s="14"/>
      <c r="V326" s="14">
        <f>SUM(Matiere_premiere[[#This Row],[INVENTAIRE]],-Matiere_premiere[[#This Row],[Entrée]],-Matiere_premiere[[#This Row],[Sortis]])</f>
        <v>0</v>
      </c>
      <c r="W326" s="50" t="str">
        <f>CONCATENATE(Matiere_premiere[[#This Row],[CODE COLEUR]],"_",Matiere_premiere[[#This Row],[COULEUR]],"_",Matiere_premiere[[#This Row],[CODE FAB]],"_",Matiere_premiere[[#This Row],[Num de Lot]])</f>
        <v>C15_LAGON_NM15-15.00_65425</v>
      </c>
    </row>
    <row r="327" spans="1:23" ht="19.7" customHeight="1" thickBot="1" x14ac:dyDescent="0.3">
      <c r="A327" s="68"/>
      <c r="B327" s="71"/>
      <c r="C327" s="71"/>
      <c r="D327" s="74"/>
      <c r="E327" s="76"/>
      <c r="F327" s="78"/>
      <c r="G327" s="74"/>
      <c r="H327" s="76"/>
      <c r="I327" s="80"/>
      <c r="J327" s="11" t="str">
        <f>Matiere_premiere[[#This Row],[Entrepot]]</f>
        <v>E2</v>
      </c>
      <c r="K327" s="9" t="b">
        <f>IF(Matiere_premiere[[#This Row],[INVENTAIRE]]&gt;0,TRUE,FALSE)</f>
        <v>0</v>
      </c>
      <c r="L327" s="65"/>
      <c r="M327" s="16" t="s">
        <v>103</v>
      </c>
      <c r="N327" s="16" t="s">
        <v>208</v>
      </c>
      <c r="O327" s="16" t="s">
        <v>207</v>
      </c>
      <c r="P327" s="16" t="s">
        <v>209</v>
      </c>
      <c r="Q327" s="54">
        <v>65425</v>
      </c>
      <c r="R327" s="13" t="s">
        <v>74</v>
      </c>
      <c r="S327" s="14">
        <v>0</v>
      </c>
      <c r="T327" s="14"/>
      <c r="U327" s="14"/>
      <c r="V327" s="14">
        <f>SUM(Matiere_premiere[[#This Row],[INVENTAIRE]],-Matiere_premiere[[#This Row],[Entrée]],-Matiere_premiere[[#This Row],[Sortis]])</f>
        <v>0</v>
      </c>
      <c r="W327" s="50" t="str">
        <f>CONCATENATE(Matiere_premiere[[#This Row],[CODE COLEUR]],"_",Matiere_premiere[[#This Row],[COULEUR]],"_",Matiere_premiere[[#This Row],[CODE FAB]],"_",Matiere_premiere[[#This Row],[Num de Lot]])</f>
        <v>C15_LAGON_NM15-15.00_65425</v>
      </c>
    </row>
    <row r="328" spans="1:23" ht="19.7" customHeight="1" thickBot="1" x14ac:dyDescent="0.3">
      <c r="A328" s="68"/>
      <c r="B328" s="71"/>
      <c r="C328" s="71"/>
      <c r="D328" s="74"/>
      <c r="E328" s="76"/>
      <c r="F328" s="78"/>
      <c r="G328" s="74"/>
      <c r="H328" s="76"/>
      <c r="I328" s="80"/>
      <c r="J328" s="11" t="str">
        <f>Matiere_premiere[[#This Row],[Entrepot]]</f>
        <v>E3</v>
      </c>
      <c r="K328" s="9" t="b">
        <f>IF(Matiere_premiere[[#This Row],[INVENTAIRE]]&gt;0,TRUE,FALSE)</f>
        <v>0</v>
      </c>
      <c r="L328" s="65"/>
      <c r="M328" s="16" t="s">
        <v>103</v>
      </c>
      <c r="N328" s="16" t="s">
        <v>208</v>
      </c>
      <c r="O328" s="16" t="s">
        <v>207</v>
      </c>
      <c r="P328" s="16" t="s">
        <v>209</v>
      </c>
      <c r="Q328" s="54">
        <v>65425</v>
      </c>
      <c r="R328" s="13" t="s">
        <v>73</v>
      </c>
      <c r="S328" s="14">
        <v>0</v>
      </c>
      <c r="T328" s="14"/>
      <c r="U328" s="14"/>
      <c r="V328" s="14">
        <f>SUM(Matiere_premiere[[#This Row],[INVENTAIRE]],-Matiere_premiere[[#This Row],[Entrée]],-Matiere_premiere[[#This Row],[Sortis]])</f>
        <v>0</v>
      </c>
      <c r="W328" s="50" t="str">
        <f>CONCATENATE(Matiere_premiere[[#This Row],[CODE COLEUR]],"_",Matiere_premiere[[#This Row],[COULEUR]],"_",Matiere_premiere[[#This Row],[CODE FAB]],"_",Matiere_premiere[[#This Row],[Num de Lot]])</f>
        <v>C15_LAGON_NM15-15.00_65425</v>
      </c>
    </row>
    <row r="329" spans="1:23" ht="19.7" customHeight="1" thickBot="1" x14ac:dyDescent="0.3">
      <c r="A329" s="69"/>
      <c r="B329" s="72"/>
      <c r="C329" s="72"/>
      <c r="D329" s="75"/>
      <c r="E329" s="77"/>
      <c r="F329" s="79"/>
      <c r="G329" s="75"/>
      <c r="H329" s="77"/>
      <c r="I329" s="81"/>
      <c r="J329" s="10" t="str">
        <f>Matiere_premiere[[#This Row],[Entrepot]]</f>
        <v>Usine</v>
      </c>
      <c r="K329" s="9" t="b">
        <f>IF(Matiere_premiere[[#This Row],[INVENTAIRE]]&gt;0,TRUE,FALSE)</f>
        <v>0</v>
      </c>
      <c r="L329" s="66"/>
      <c r="M329" s="13" t="s">
        <v>103</v>
      </c>
      <c r="N329" s="13" t="s">
        <v>208</v>
      </c>
      <c r="O329" s="13" t="s">
        <v>207</v>
      </c>
      <c r="P329" s="13" t="s">
        <v>209</v>
      </c>
      <c r="Q329" s="55">
        <v>65425</v>
      </c>
      <c r="R329" s="13" t="s">
        <v>68</v>
      </c>
      <c r="S329" s="14">
        <v>0</v>
      </c>
      <c r="T329" s="14"/>
      <c r="U329" s="14"/>
      <c r="V329" s="14">
        <f>SUM(Matiere_premiere[[#This Row],[INVENTAIRE]],-Matiere_premiere[[#This Row],[Entrée]],-Matiere_premiere[[#This Row],[Sortis]])</f>
        <v>0</v>
      </c>
      <c r="W329" s="50" t="str">
        <f>CONCATENATE(Matiere_premiere[[#This Row],[CODE COLEUR]],"_",Matiere_premiere[[#This Row],[COULEUR]],"_",Matiere_premiere[[#This Row],[CODE FAB]],"_",Matiere_premiere[[#This Row],[Num de Lot]])</f>
        <v>C15_LAGON_NM15-15.00_65425</v>
      </c>
    </row>
    <row r="330" spans="1:23" ht="19.7" customHeight="1" thickTop="1" thickBot="1" x14ac:dyDescent="0.3">
      <c r="A330" s="67" t="str">
        <f>Matiere_premiere[[#This Row],[NUMERO METRIQUE]]</f>
        <v>NM20</v>
      </c>
      <c r="B330" s="70" t="str">
        <f>Matiere_premiere[[#This Row],[COULEUR]]</f>
        <v>LAGON</v>
      </c>
      <c r="C330" s="70" t="str">
        <f>Matiere_premiere[[#This Row],[CODE COLEUR]]</f>
        <v>C15</v>
      </c>
      <c r="D330" s="73" t="str">
        <f>Matiere_premiere[[#This Row],[CODE FAB]]</f>
        <v>NM20-15.00</v>
      </c>
      <c r="E330" s="76" t="e" vm="120">
        <f>_xlfn.IMAGE("https://api.qrserver.com/v1/create-qr-code/?size=100x100&amp;data=" &amp; D330)</f>
        <v>#VALUE!</v>
      </c>
      <c r="F330" s="78"/>
      <c r="G330" s="73" t="str">
        <f>Matiere_premiere[[#This Row],[Num de Lot]]</f>
        <v>S2023</v>
      </c>
      <c r="H330" s="76" t="e" vm="2">
        <f>_xlfn.IMAGE("https://api.qrserver.com/v1/create-qr-code/?size=100x100&amp;data=" &amp; G330)</f>
        <v>#VALUE!</v>
      </c>
      <c r="I330" s="80"/>
      <c r="J330" s="12" t="str">
        <f>Matiere_premiere[[#This Row],[Entrepot]]</f>
        <v>E1</v>
      </c>
      <c r="K330" s="9" t="b">
        <f>IF(Matiere_premiere[[#This Row],[INVENTAIRE]]&gt;0,TRUE,FALSE)</f>
        <v>0</v>
      </c>
      <c r="L330" s="65"/>
      <c r="M330" s="8" t="s">
        <v>82</v>
      </c>
      <c r="N330" s="8" t="s">
        <v>208</v>
      </c>
      <c r="O330" s="8" t="s">
        <v>207</v>
      </c>
      <c r="P330" s="8" t="s">
        <v>206</v>
      </c>
      <c r="Q330" s="53" t="s">
        <v>69</v>
      </c>
      <c r="R330" s="8" t="s">
        <v>75</v>
      </c>
      <c r="S330" s="7">
        <v>0</v>
      </c>
      <c r="T330" s="7"/>
      <c r="U330" s="7"/>
      <c r="V330" s="7">
        <f>SUM(Matiere_premiere[[#This Row],[INVENTAIRE]],-Matiere_premiere[[#This Row],[Entrée]],-Matiere_premiere[[#This Row],[Sortis]])</f>
        <v>0</v>
      </c>
      <c r="W330" s="50" t="str">
        <f>CONCATENATE(Matiere_premiere[[#This Row],[CODE COLEUR]],"_",Matiere_premiere[[#This Row],[COULEUR]],"_",Matiere_premiere[[#This Row],[CODE FAB]],"_",Matiere_premiere[[#This Row],[Num de Lot]])</f>
        <v>C15_LAGON_NM20-15.00_S2023</v>
      </c>
    </row>
    <row r="331" spans="1:23" ht="19.7" customHeight="1" thickBot="1" x14ac:dyDescent="0.3">
      <c r="A331" s="68"/>
      <c r="B331" s="71"/>
      <c r="C331" s="71"/>
      <c r="D331" s="74"/>
      <c r="E331" s="76"/>
      <c r="F331" s="78"/>
      <c r="G331" s="74"/>
      <c r="H331" s="76"/>
      <c r="I331" s="80"/>
      <c r="J331" s="11" t="str">
        <f>Matiere_premiere[[#This Row],[Entrepot]]</f>
        <v>E2</v>
      </c>
      <c r="K331" s="9" t="b">
        <f>IF(Matiere_premiere[[#This Row],[INVENTAIRE]]&gt;0,TRUE,FALSE)</f>
        <v>0</v>
      </c>
      <c r="L331" s="65"/>
      <c r="M331" s="8" t="s">
        <v>82</v>
      </c>
      <c r="N331" s="8" t="s">
        <v>208</v>
      </c>
      <c r="O331" s="8" t="s">
        <v>207</v>
      </c>
      <c r="P331" s="8" t="s">
        <v>206</v>
      </c>
      <c r="Q331" s="53" t="s">
        <v>69</v>
      </c>
      <c r="R331" s="8" t="s">
        <v>74</v>
      </c>
      <c r="S331" s="7">
        <v>0</v>
      </c>
      <c r="T331" s="7"/>
      <c r="U331" s="7"/>
      <c r="V331" s="7">
        <f>SUM(Matiere_premiere[[#This Row],[INVENTAIRE]],-Matiere_premiere[[#This Row],[Entrée]],-Matiere_premiere[[#This Row],[Sortis]])</f>
        <v>0</v>
      </c>
      <c r="W331" s="50" t="str">
        <f>CONCATENATE(Matiere_premiere[[#This Row],[CODE COLEUR]],"_",Matiere_premiere[[#This Row],[COULEUR]],"_",Matiere_premiere[[#This Row],[CODE FAB]],"_",Matiere_premiere[[#This Row],[Num de Lot]])</f>
        <v>C15_LAGON_NM20-15.00_S2023</v>
      </c>
    </row>
    <row r="332" spans="1:23" ht="19.7" customHeight="1" thickBot="1" x14ac:dyDescent="0.3">
      <c r="A332" s="68"/>
      <c r="B332" s="71"/>
      <c r="C332" s="71"/>
      <c r="D332" s="74"/>
      <c r="E332" s="76"/>
      <c r="F332" s="78"/>
      <c r="G332" s="74"/>
      <c r="H332" s="76"/>
      <c r="I332" s="80"/>
      <c r="J332" s="11" t="str">
        <f>Matiere_premiere[[#This Row],[Entrepot]]</f>
        <v>E3</v>
      </c>
      <c r="K332" s="9" t="b">
        <f>IF(Matiere_premiere[[#This Row],[INVENTAIRE]]&gt;0,TRUE,FALSE)</f>
        <v>0</v>
      </c>
      <c r="L332" s="65"/>
      <c r="M332" s="8" t="s">
        <v>82</v>
      </c>
      <c r="N332" s="8" t="s">
        <v>208</v>
      </c>
      <c r="O332" s="8" t="s">
        <v>207</v>
      </c>
      <c r="P332" s="8" t="s">
        <v>206</v>
      </c>
      <c r="Q332" s="53" t="s">
        <v>69</v>
      </c>
      <c r="R332" s="8" t="s">
        <v>73</v>
      </c>
      <c r="S332" s="7">
        <v>0</v>
      </c>
      <c r="T332" s="7"/>
      <c r="U332" s="7"/>
      <c r="V332" s="7">
        <f>SUM(Matiere_premiere[[#This Row],[INVENTAIRE]],-Matiere_premiere[[#This Row],[Entrée]],-Matiere_premiere[[#This Row],[Sortis]])</f>
        <v>0</v>
      </c>
      <c r="W332" s="50" t="str">
        <f>CONCATENATE(Matiere_premiere[[#This Row],[CODE COLEUR]],"_",Matiere_premiere[[#This Row],[COULEUR]],"_",Matiere_premiere[[#This Row],[CODE FAB]],"_",Matiere_premiere[[#This Row],[Num de Lot]])</f>
        <v>C15_LAGON_NM20-15.00_S2023</v>
      </c>
    </row>
    <row r="333" spans="1:23" ht="19.7" customHeight="1" thickBot="1" x14ac:dyDescent="0.3">
      <c r="A333" s="69"/>
      <c r="B333" s="72"/>
      <c r="C333" s="72"/>
      <c r="D333" s="75"/>
      <c r="E333" s="77"/>
      <c r="F333" s="79"/>
      <c r="G333" s="75"/>
      <c r="H333" s="77"/>
      <c r="I333" s="81"/>
      <c r="J333" s="10" t="str">
        <f>Matiere_premiere[[#This Row],[Entrepot]]</f>
        <v>Usine</v>
      </c>
      <c r="K333" s="9" t="b">
        <f>IF(Matiere_premiere[[#This Row],[INVENTAIRE]]&gt;0,TRUE,FALSE)</f>
        <v>1</v>
      </c>
      <c r="L333" s="66"/>
      <c r="M333" s="8" t="s">
        <v>82</v>
      </c>
      <c r="N333" s="8" t="s">
        <v>208</v>
      </c>
      <c r="O333" s="8" t="s">
        <v>207</v>
      </c>
      <c r="P333" s="8" t="s">
        <v>206</v>
      </c>
      <c r="Q333" s="53" t="s">
        <v>69</v>
      </c>
      <c r="R333" s="8" t="s">
        <v>68</v>
      </c>
      <c r="S333" s="7">
        <v>38</v>
      </c>
      <c r="T333" s="7"/>
      <c r="U333" s="7"/>
      <c r="V333" s="7">
        <f>SUM(Matiere_premiere[[#This Row],[INVENTAIRE]],-Matiere_premiere[[#This Row],[Entrée]],-Matiere_premiere[[#This Row],[Sortis]])</f>
        <v>38</v>
      </c>
      <c r="W333" s="50" t="str">
        <f>CONCATENATE(Matiere_premiere[[#This Row],[CODE COLEUR]],"_",Matiere_premiere[[#This Row],[COULEUR]],"_",Matiere_premiere[[#This Row],[CODE FAB]],"_",Matiere_premiere[[#This Row],[Num de Lot]])</f>
        <v>C15_LAGON_NM20-15.00_S2023</v>
      </c>
    </row>
    <row r="334" spans="1:23" ht="19.7" customHeight="1" thickTop="1" thickBot="1" x14ac:dyDescent="0.3">
      <c r="A334" s="67" t="str">
        <f>Matiere_premiere[[#This Row],[NUMERO METRIQUE]]</f>
        <v>NM15</v>
      </c>
      <c r="B334" s="70" t="str">
        <f>Matiere_premiere[[#This Row],[COULEUR]]</f>
        <v>BLEU CIEL</v>
      </c>
      <c r="C334" s="70" t="str">
        <f>Matiere_premiere[[#This Row],[CODE COLEUR]]</f>
        <v>C16</v>
      </c>
      <c r="D334" s="73" t="str">
        <f>Matiere_premiere[[#This Row],[CODE FAB]]</f>
        <v>NM15-16.00</v>
      </c>
      <c r="E334" s="76" t="e" vm="121">
        <f>_xlfn.IMAGE("https://api.qrserver.com/v1/create-qr-code/?size=100x100&amp;data=" &amp; D334)</f>
        <v>#VALUE!</v>
      </c>
      <c r="F334" s="78"/>
      <c r="G334" s="73">
        <f>Matiere_premiere[[#This Row],[Num de Lot]]</f>
        <v>61533</v>
      </c>
      <c r="H334" s="76" t="e" vm="122">
        <f>_xlfn.IMAGE("https://api.qrserver.com/v1/create-qr-code/?size=100x100&amp;data=" &amp; G334)</f>
        <v>#VALUE!</v>
      </c>
      <c r="I334" s="80"/>
      <c r="J334" s="12" t="str">
        <f>Matiere_premiere[[#This Row],[Entrepot]]</f>
        <v>E1</v>
      </c>
      <c r="K334" s="9" t="b">
        <f>IF(Matiere_premiere[[#This Row],[INVENTAIRE]]&gt;0,TRUE,FALSE)</f>
        <v>0</v>
      </c>
      <c r="L334" s="65"/>
      <c r="M334" s="13" t="s">
        <v>103</v>
      </c>
      <c r="N334" s="13" t="s">
        <v>202</v>
      </c>
      <c r="O334" s="13" t="s">
        <v>201</v>
      </c>
      <c r="P334" s="13" t="s">
        <v>205</v>
      </c>
      <c r="Q334" s="55">
        <v>61533</v>
      </c>
      <c r="R334" s="13" t="s">
        <v>75</v>
      </c>
      <c r="S334" s="14">
        <v>0</v>
      </c>
      <c r="T334" s="14"/>
      <c r="U334" s="14"/>
      <c r="V334" s="14">
        <f>SUM(Matiere_premiere[[#This Row],[INVENTAIRE]],-Matiere_premiere[[#This Row],[Entrée]],-Matiere_premiere[[#This Row],[Sortis]])</f>
        <v>0</v>
      </c>
      <c r="W334" s="50" t="str">
        <f>CONCATENATE(Matiere_premiere[[#This Row],[CODE COLEUR]],"_",Matiere_premiere[[#This Row],[COULEUR]],"_",Matiere_premiere[[#This Row],[CODE FAB]],"_",Matiere_premiere[[#This Row],[Num de Lot]])</f>
        <v>C16_BLEU CIEL_NM15-16.00_61533</v>
      </c>
    </row>
    <row r="335" spans="1:23" ht="19.7" customHeight="1" thickBot="1" x14ac:dyDescent="0.3">
      <c r="A335" s="68"/>
      <c r="B335" s="71"/>
      <c r="C335" s="71"/>
      <c r="D335" s="74"/>
      <c r="E335" s="76"/>
      <c r="F335" s="78"/>
      <c r="G335" s="74"/>
      <c r="H335" s="76"/>
      <c r="I335" s="80"/>
      <c r="J335" s="11" t="str">
        <f>Matiere_premiere[[#This Row],[Entrepot]]</f>
        <v>E2</v>
      </c>
      <c r="K335" s="9" t="b">
        <f>IF(Matiere_premiere[[#This Row],[INVENTAIRE]]&gt;0,TRUE,FALSE)</f>
        <v>0</v>
      </c>
      <c r="L335" s="65"/>
      <c r="M335" s="13" t="s">
        <v>103</v>
      </c>
      <c r="N335" s="13" t="s">
        <v>202</v>
      </c>
      <c r="O335" s="13" t="s">
        <v>201</v>
      </c>
      <c r="P335" s="13" t="s">
        <v>205</v>
      </c>
      <c r="Q335" s="55">
        <v>61533</v>
      </c>
      <c r="R335" s="13" t="s">
        <v>74</v>
      </c>
      <c r="S335" s="14">
        <v>0</v>
      </c>
      <c r="T335" s="14"/>
      <c r="U335" s="14"/>
      <c r="V335" s="14">
        <f>SUM(Matiere_premiere[[#This Row],[INVENTAIRE]],-Matiere_premiere[[#This Row],[Entrée]],-Matiere_premiere[[#This Row],[Sortis]])</f>
        <v>0</v>
      </c>
      <c r="W335" s="50" t="str">
        <f>CONCATENATE(Matiere_premiere[[#This Row],[CODE COLEUR]],"_",Matiere_premiere[[#This Row],[COULEUR]],"_",Matiere_premiere[[#This Row],[CODE FAB]],"_",Matiere_premiere[[#This Row],[Num de Lot]])</f>
        <v>C16_BLEU CIEL_NM15-16.00_61533</v>
      </c>
    </row>
    <row r="336" spans="1:23" ht="19.7" customHeight="1" thickBot="1" x14ac:dyDescent="0.3">
      <c r="A336" s="68"/>
      <c r="B336" s="71"/>
      <c r="C336" s="71"/>
      <c r="D336" s="74"/>
      <c r="E336" s="76"/>
      <c r="F336" s="78"/>
      <c r="G336" s="74"/>
      <c r="H336" s="76"/>
      <c r="I336" s="80"/>
      <c r="J336" s="11" t="str">
        <f>Matiere_premiere[[#This Row],[Entrepot]]</f>
        <v>E3</v>
      </c>
      <c r="K336" s="9" t="b">
        <f>IF(Matiere_premiere[[#This Row],[INVENTAIRE]]&gt;0,TRUE,FALSE)</f>
        <v>0</v>
      </c>
      <c r="L336" s="65"/>
      <c r="M336" s="13" t="s">
        <v>103</v>
      </c>
      <c r="N336" s="13" t="s">
        <v>202</v>
      </c>
      <c r="O336" s="13" t="s">
        <v>201</v>
      </c>
      <c r="P336" s="13" t="s">
        <v>205</v>
      </c>
      <c r="Q336" s="55">
        <v>61533</v>
      </c>
      <c r="R336" s="13" t="s">
        <v>73</v>
      </c>
      <c r="S336" s="14">
        <v>0</v>
      </c>
      <c r="T336" s="14"/>
      <c r="U336" s="14"/>
      <c r="V336" s="14">
        <f>SUM(Matiere_premiere[[#This Row],[INVENTAIRE]],-Matiere_premiere[[#This Row],[Entrée]],-Matiere_premiere[[#This Row],[Sortis]])</f>
        <v>0</v>
      </c>
      <c r="W336" s="50" t="str">
        <f>CONCATENATE(Matiere_premiere[[#This Row],[CODE COLEUR]],"_",Matiere_premiere[[#This Row],[COULEUR]],"_",Matiere_premiere[[#This Row],[CODE FAB]],"_",Matiere_premiere[[#This Row],[Num de Lot]])</f>
        <v>C16_BLEU CIEL_NM15-16.00_61533</v>
      </c>
    </row>
    <row r="337" spans="1:23" ht="19.7" customHeight="1" thickBot="1" x14ac:dyDescent="0.3">
      <c r="A337" s="69"/>
      <c r="B337" s="72"/>
      <c r="C337" s="72"/>
      <c r="D337" s="75"/>
      <c r="E337" s="77"/>
      <c r="F337" s="79"/>
      <c r="G337" s="75"/>
      <c r="H337" s="77"/>
      <c r="I337" s="81"/>
      <c r="J337" s="10" t="str">
        <f>Matiere_premiere[[#This Row],[Entrepot]]</f>
        <v>Usine</v>
      </c>
      <c r="K337" s="9" t="b">
        <f>IF(Matiere_premiere[[#This Row],[INVENTAIRE]]&gt;0,TRUE,FALSE)</f>
        <v>1</v>
      </c>
      <c r="L337" s="66"/>
      <c r="M337" s="13" t="s">
        <v>103</v>
      </c>
      <c r="N337" s="13" t="s">
        <v>202</v>
      </c>
      <c r="O337" s="13" t="s">
        <v>201</v>
      </c>
      <c r="P337" s="13" t="s">
        <v>205</v>
      </c>
      <c r="Q337" s="55">
        <v>61533</v>
      </c>
      <c r="R337" s="13" t="s">
        <v>68</v>
      </c>
      <c r="S337" s="14">
        <v>62</v>
      </c>
      <c r="T337" s="14"/>
      <c r="U337" s="14"/>
      <c r="V337" s="14">
        <f>SUM(Matiere_premiere[[#This Row],[INVENTAIRE]],-Matiere_premiere[[#This Row],[Entrée]],-Matiere_premiere[[#This Row],[Sortis]])</f>
        <v>62</v>
      </c>
      <c r="W337" s="50" t="str">
        <f>CONCATENATE(Matiere_premiere[[#This Row],[CODE COLEUR]],"_",Matiere_premiere[[#This Row],[COULEUR]],"_",Matiere_premiere[[#This Row],[CODE FAB]],"_",Matiere_premiere[[#This Row],[Num de Lot]])</f>
        <v>C16_BLEU CIEL_NM15-16.00_61533</v>
      </c>
    </row>
    <row r="338" spans="1:23" ht="19.7" customHeight="1" thickTop="1" thickBot="1" x14ac:dyDescent="0.3">
      <c r="A338" s="67" t="str">
        <f>Matiere_premiere[[#This Row],[NUMERO METRIQUE]]</f>
        <v>NM15</v>
      </c>
      <c r="B338" s="70" t="str">
        <f>Matiere_premiere[[#This Row],[COULEUR]]</f>
        <v>BLEU CIEL</v>
      </c>
      <c r="C338" s="70" t="str">
        <f>Matiere_premiere[[#This Row],[CODE COLEUR]]</f>
        <v>C16</v>
      </c>
      <c r="D338" s="73" t="str">
        <f>Matiere_premiere[[#This Row],[CODE FAB]]</f>
        <v>NM15-16.00</v>
      </c>
      <c r="E338" s="76" t="e" vm="121">
        <f>_xlfn.IMAGE("https://api.qrserver.com/v1/create-qr-code/?size=100x100&amp;data=" &amp; D338)</f>
        <v>#VALUE!</v>
      </c>
      <c r="F338" s="78"/>
      <c r="G338" s="73">
        <f>Matiere_premiere[[#This Row],[Num de Lot]]</f>
        <v>65327</v>
      </c>
      <c r="H338" s="76" t="e" vm="123">
        <f>_xlfn.IMAGE("https://api.qrserver.com/v1/create-qr-code/?size=100x100&amp;data=" &amp; G338)</f>
        <v>#VALUE!</v>
      </c>
      <c r="I338" s="80"/>
      <c r="J338" s="12" t="str">
        <f>Matiere_premiere[[#This Row],[Entrepot]]</f>
        <v>E1</v>
      </c>
      <c r="K338" s="9" t="b">
        <f>IF(Matiere_premiere[[#This Row],[INVENTAIRE]]&gt;0,TRUE,FALSE)</f>
        <v>0</v>
      </c>
      <c r="L338" s="65"/>
      <c r="M338" s="15" t="s">
        <v>103</v>
      </c>
      <c r="N338" s="15" t="s">
        <v>202</v>
      </c>
      <c r="O338" s="15" t="s">
        <v>201</v>
      </c>
      <c r="P338" s="15" t="s">
        <v>205</v>
      </c>
      <c r="Q338" s="56">
        <v>65327</v>
      </c>
      <c r="R338" s="8" t="s">
        <v>75</v>
      </c>
      <c r="S338" s="7">
        <v>0</v>
      </c>
      <c r="T338" s="7"/>
      <c r="U338" s="7"/>
      <c r="V338" s="7">
        <f>SUM(Matiere_premiere[[#This Row],[INVENTAIRE]],-Matiere_premiere[[#This Row],[Entrée]],-Matiere_premiere[[#This Row],[Sortis]])</f>
        <v>0</v>
      </c>
      <c r="W338" s="50" t="str">
        <f>CONCATENATE(Matiere_premiere[[#This Row],[CODE COLEUR]],"_",Matiere_premiere[[#This Row],[COULEUR]],"_",Matiere_premiere[[#This Row],[CODE FAB]],"_",Matiere_premiere[[#This Row],[Num de Lot]])</f>
        <v>C16_BLEU CIEL_NM15-16.00_65327</v>
      </c>
    </row>
    <row r="339" spans="1:23" ht="19.7" customHeight="1" thickBot="1" x14ac:dyDescent="0.3">
      <c r="A339" s="68"/>
      <c r="B339" s="71"/>
      <c r="C339" s="71"/>
      <c r="D339" s="74"/>
      <c r="E339" s="76"/>
      <c r="F339" s="78"/>
      <c r="G339" s="74"/>
      <c r="H339" s="76"/>
      <c r="I339" s="80"/>
      <c r="J339" s="11" t="str">
        <f>Matiere_premiere[[#This Row],[Entrepot]]</f>
        <v>E2</v>
      </c>
      <c r="K339" s="9" t="b">
        <f>IF(Matiere_premiere[[#This Row],[INVENTAIRE]]&gt;0,TRUE,FALSE)</f>
        <v>0</v>
      </c>
      <c r="L339" s="65"/>
      <c r="M339" s="15" t="s">
        <v>103</v>
      </c>
      <c r="N339" s="15" t="s">
        <v>202</v>
      </c>
      <c r="O339" s="15" t="s">
        <v>201</v>
      </c>
      <c r="P339" s="15" t="s">
        <v>205</v>
      </c>
      <c r="Q339" s="56">
        <v>65327</v>
      </c>
      <c r="R339" s="8" t="s">
        <v>74</v>
      </c>
      <c r="S339" s="7">
        <v>0</v>
      </c>
      <c r="T339" s="7"/>
      <c r="U339" s="7"/>
      <c r="V339" s="7">
        <f>SUM(Matiere_premiere[[#This Row],[INVENTAIRE]],-Matiere_premiere[[#This Row],[Entrée]],-Matiere_premiere[[#This Row],[Sortis]])</f>
        <v>0</v>
      </c>
      <c r="W339" s="50" t="str">
        <f>CONCATENATE(Matiere_premiere[[#This Row],[CODE COLEUR]],"_",Matiere_premiere[[#This Row],[COULEUR]],"_",Matiere_premiere[[#This Row],[CODE FAB]],"_",Matiere_premiere[[#This Row],[Num de Lot]])</f>
        <v>C16_BLEU CIEL_NM15-16.00_65327</v>
      </c>
    </row>
    <row r="340" spans="1:23" ht="19.7" customHeight="1" thickBot="1" x14ac:dyDescent="0.3">
      <c r="A340" s="68"/>
      <c r="B340" s="71"/>
      <c r="C340" s="71"/>
      <c r="D340" s="74"/>
      <c r="E340" s="76"/>
      <c r="F340" s="78"/>
      <c r="G340" s="74"/>
      <c r="H340" s="76"/>
      <c r="I340" s="80"/>
      <c r="J340" s="11" t="str">
        <f>Matiere_premiere[[#This Row],[Entrepot]]</f>
        <v>E3</v>
      </c>
      <c r="K340" s="9" t="b">
        <f>IF(Matiere_premiere[[#This Row],[INVENTAIRE]]&gt;0,TRUE,FALSE)</f>
        <v>0</v>
      </c>
      <c r="L340" s="65"/>
      <c r="M340" s="15" t="s">
        <v>103</v>
      </c>
      <c r="N340" s="15" t="s">
        <v>202</v>
      </c>
      <c r="O340" s="15" t="s">
        <v>201</v>
      </c>
      <c r="P340" s="15" t="s">
        <v>205</v>
      </c>
      <c r="Q340" s="56">
        <v>65327</v>
      </c>
      <c r="R340" s="8" t="s">
        <v>73</v>
      </c>
      <c r="S340" s="7">
        <v>0</v>
      </c>
      <c r="T340" s="7"/>
      <c r="U340" s="7"/>
      <c r="V340" s="7">
        <f>SUM(Matiere_premiere[[#This Row],[INVENTAIRE]],-Matiere_premiere[[#This Row],[Entrée]],-Matiere_premiere[[#This Row],[Sortis]])</f>
        <v>0</v>
      </c>
      <c r="W340" s="50" t="str">
        <f>CONCATENATE(Matiere_premiere[[#This Row],[CODE COLEUR]],"_",Matiere_premiere[[#This Row],[COULEUR]],"_",Matiere_premiere[[#This Row],[CODE FAB]],"_",Matiere_premiere[[#This Row],[Num de Lot]])</f>
        <v>C16_BLEU CIEL_NM15-16.00_65327</v>
      </c>
    </row>
    <row r="341" spans="1:23" ht="19.7" customHeight="1" thickBot="1" x14ac:dyDescent="0.3">
      <c r="A341" s="69"/>
      <c r="B341" s="72"/>
      <c r="C341" s="72"/>
      <c r="D341" s="75"/>
      <c r="E341" s="77"/>
      <c r="F341" s="79"/>
      <c r="G341" s="75"/>
      <c r="H341" s="77"/>
      <c r="I341" s="81"/>
      <c r="J341" s="10" t="str">
        <f>Matiere_premiere[[#This Row],[Entrepot]]</f>
        <v>Usine</v>
      </c>
      <c r="K341" s="9" t="b">
        <f>IF(Matiere_premiere[[#This Row],[INVENTAIRE]]&gt;0,TRUE,FALSE)</f>
        <v>0</v>
      </c>
      <c r="L341" s="66"/>
      <c r="M341" s="8" t="s">
        <v>103</v>
      </c>
      <c r="N341" s="8" t="s">
        <v>202</v>
      </c>
      <c r="O341" s="8" t="s">
        <v>201</v>
      </c>
      <c r="P341" s="8" t="s">
        <v>205</v>
      </c>
      <c r="Q341" s="53">
        <v>65327</v>
      </c>
      <c r="R341" s="8" t="s">
        <v>68</v>
      </c>
      <c r="S341" s="7">
        <v>0</v>
      </c>
      <c r="T341" s="7"/>
      <c r="U341" s="7"/>
      <c r="V341" s="7">
        <f>SUM(Matiere_premiere[[#This Row],[INVENTAIRE]],-Matiere_premiere[[#This Row],[Entrée]],-Matiere_premiere[[#This Row],[Sortis]])</f>
        <v>0</v>
      </c>
      <c r="W341" s="50" t="str">
        <f>CONCATENATE(Matiere_premiere[[#This Row],[CODE COLEUR]],"_",Matiere_premiere[[#This Row],[COULEUR]],"_",Matiere_premiere[[#This Row],[CODE FAB]],"_",Matiere_premiere[[#This Row],[Num de Lot]])</f>
        <v>C16_BLEU CIEL_NM15-16.00_65327</v>
      </c>
    </row>
    <row r="342" spans="1:23" ht="19.7" customHeight="1" thickTop="1" thickBot="1" x14ac:dyDescent="0.3">
      <c r="A342" s="67" t="str">
        <f>Matiere_premiere[[#This Row],[NUMERO METRIQUE]]</f>
        <v>NM15</v>
      </c>
      <c r="B342" s="70" t="str">
        <f>Matiere_premiere[[#This Row],[COULEUR]]</f>
        <v>GLACIER</v>
      </c>
      <c r="C342" s="70" t="str">
        <f>Matiere_premiere[[#This Row],[CODE COLEUR]]</f>
        <v>C16</v>
      </c>
      <c r="D342" s="73" t="str">
        <f>Matiere_premiere[[#This Row],[CODE FAB]]</f>
        <v>NM15-16.01</v>
      </c>
      <c r="E342" s="76" t="e" vm="124">
        <f>_xlfn.IMAGE("https://api.qrserver.com/v1/create-qr-code/?size=100x100&amp;data=" &amp; D342)</f>
        <v>#VALUE!</v>
      </c>
      <c r="F342" s="78"/>
      <c r="G342" s="73">
        <f>Matiere_premiere[[#This Row],[Num de Lot]]</f>
        <v>61628</v>
      </c>
      <c r="H342" s="76" t="e" vm="125">
        <f>_xlfn.IMAGE("https://api.qrserver.com/v1/create-qr-code/?size=100x100&amp;data=" &amp; G342)</f>
        <v>#VALUE!</v>
      </c>
      <c r="I342" s="80"/>
      <c r="J342" s="12" t="str">
        <f>Matiere_premiere[[#This Row],[Entrepot]]</f>
        <v>E1</v>
      </c>
      <c r="K342" s="9" t="b">
        <f>IF(Matiere_premiere[[#This Row],[INVENTAIRE]]&gt;0,TRUE,FALSE)</f>
        <v>0</v>
      </c>
      <c r="L342" s="65"/>
      <c r="M342" s="13" t="s">
        <v>103</v>
      </c>
      <c r="N342" s="13" t="s">
        <v>204</v>
      </c>
      <c r="O342" s="13" t="s">
        <v>201</v>
      </c>
      <c r="P342" s="13" t="s">
        <v>203</v>
      </c>
      <c r="Q342" s="55">
        <v>61628</v>
      </c>
      <c r="R342" s="13" t="s">
        <v>75</v>
      </c>
      <c r="S342" s="14">
        <v>0</v>
      </c>
      <c r="T342" s="14"/>
      <c r="U342" s="14"/>
      <c r="V342" s="14">
        <f>SUM(Matiere_premiere[[#This Row],[INVENTAIRE]],-Matiere_premiere[[#This Row],[Entrée]],-Matiere_premiere[[#This Row],[Sortis]])</f>
        <v>0</v>
      </c>
      <c r="W342" s="50" t="str">
        <f>CONCATENATE(Matiere_premiere[[#This Row],[CODE COLEUR]],"_",Matiere_premiere[[#This Row],[COULEUR]],"_",Matiere_premiere[[#This Row],[CODE FAB]],"_",Matiere_premiere[[#This Row],[Num de Lot]])</f>
        <v>C16_GLACIER_NM15-16.01_61628</v>
      </c>
    </row>
    <row r="343" spans="1:23" ht="19.7" customHeight="1" thickBot="1" x14ac:dyDescent="0.3">
      <c r="A343" s="68"/>
      <c r="B343" s="71"/>
      <c r="C343" s="71"/>
      <c r="D343" s="74"/>
      <c r="E343" s="76"/>
      <c r="F343" s="78"/>
      <c r="G343" s="74"/>
      <c r="H343" s="76"/>
      <c r="I343" s="80"/>
      <c r="J343" s="11" t="str">
        <f>Matiere_premiere[[#This Row],[Entrepot]]</f>
        <v>E2</v>
      </c>
      <c r="K343" s="9" t="b">
        <f>IF(Matiere_premiere[[#This Row],[INVENTAIRE]]&gt;0,TRUE,FALSE)</f>
        <v>0</v>
      </c>
      <c r="L343" s="65"/>
      <c r="M343" s="13" t="s">
        <v>103</v>
      </c>
      <c r="N343" s="13" t="s">
        <v>204</v>
      </c>
      <c r="O343" s="13" t="s">
        <v>201</v>
      </c>
      <c r="P343" s="13" t="s">
        <v>203</v>
      </c>
      <c r="Q343" s="55">
        <v>61628</v>
      </c>
      <c r="R343" s="13" t="s">
        <v>74</v>
      </c>
      <c r="S343" s="14">
        <v>0</v>
      </c>
      <c r="T343" s="14"/>
      <c r="U343" s="14"/>
      <c r="V343" s="14">
        <f>SUM(Matiere_premiere[[#This Row],[INVENTAIRE]],-Matiere_premiere[[#This Row],[Entrée]],-Matiere_premiere[[#This Row],[Sortis]])</f>
        <v>0</v>
      </c>
      <c r="W343" s="50" t="str">
        <f>CONCATENATE(Matiere_premiere[[#This Row],[CODE COLEUR]],"_",Matiere_premiere[[#This Row],[COULEUR]],"_",Matiere_premiere[[#This Row],[CODE FAB]],"_",Matiere_premiere[[#This Row],[Num de Lot]])</f>
        <v>C16_GLACIER_NM15-16.01_61628</v>
      </c>
    </row>
    <row r="344" spans="1:23" ht="19.7" customHeight="1" thickBot="1" x14ac:dyDescent="0.3">
      <c r="A344" s="68"/>
      <c r="B344" s="71"/>
      <c r="C344" s="71"/>
      <c r="D344" s="74"/>
      <c r="E344" s="76"/>
      <c r="F344" s="78"/>
      <c r="G344" s="74"/>
      <c r="H344" s="76"/>
      <c r="I344" s="80"/>
      <c r="J344" s="11" t="str">
        <f>Matiere_premiere[[#This Row],[Entrepot]]</f>
        <v>E3</v>
      </c>
      <c r="K344" s="9" t="b">
        <f>IF(Matiere_premiere[[#This Row],[INVENTAIRE]]&gt;0,TRUE,FALSE)</f>
        <v>0</v>
      </c>
      <c r="L344" s="65"/>
      <c r="M344" s="13" t="s">
        <v>103</v>
      </c>
      <c r="N344" s="13" t="s">
        <v>204</v>
      </c>
      <c r="O344" s="13" t="s">
        <v>201</v>
      </c>
      <c r="P344" s="13" t="s">
        <v>203</v>
      </c>
      <c r="Q344" s="55">
        <v>61628</v>
      </c>
      <c r="R344" s="13" t="s">
        <v>73</v>
      </c>
      <c r="S344" s="14">
        <v>0</v>
      </c>
      <c r="T344" s="14"/>
      <c r="U344" s="14"/>
      <c r="V344" s="14">
        <f>SUM(Matiere_premiere[[#This Row],[INVENTAIRE]],-Matiere_premiere[[#This Row],[Entrée]],-Matiere_premiere[[#This Row],[Sortis]])</f>
        <v>0</v>
      </c>
      <c r="W344" s="50" t="str">
        <f>CONCATENATE(Matiere_premiere[[#This Row],[CODE COLEUR]],"_",Matiere_premiere[[#This Row],[COULEUR]],"_",Matiere_premiere[[#This Row],[CODE FAB]],"_",Matiere_premiere[[#This Row],[Num de Lot]])</f>
        <v>C16_GLACIER_NM15-16.01_61628</v>
      </c>
    </row>
    <row r="345" spans="1:23" ht="19.7" customHeight="1" thickBot="1" x14ac:dyDescent="0.3">
      <c r="A345" s="69"/>
      <c r="B345" s="72"/>
      <c r="C345" s="72"/>
      <c r="D345" s="75"/>
      <c r="E345" s="77"/>
      <c r="F345" s="79"/>
      <c r="G345" s="75"/>
      <c r="H345" s="77"/>
      <c r="I345" s="81"/>
      <c r="J345" s="10" t="str">
        <f>Matiere_premiere[[#This Row],[Entrepot]]</f>
        <v>Usine</v>
      </c>
      <c r="K345" s="9" t="b">
        <f>IF(Matiere_premiere[[#This Row],[INVENTAIRE]]&gt;0,TRUE,FALSE)</f>
        <v>1</v>
      </c>
      <c r="L345" s="66"/>
      <c r="M345" s="13" t="s">
        <v>103</v>
      </c>
      <c r="N345" s="13" t="s">
        <v>204</v>
      </c>
      <c r="O345" s="13" t="s">
        <v>201</v>
      </c>
      <c r="P345" s="13" t="s">
        <v>203</v>
      </c>
      <c r="Q345" s="55">
        <v>61628</v>
      </c>
      <c r="R345" s="13" t="s">
        <v>68</v>
      </c>
      <c r="S345" s="14">
        <v>11</v>
      </c>
      <c r="T345" s="14"/>
      <c r="U345" s="14"/>
      <c r="V345" s="14">
        <f>SUM(Matiere_premiere[[#This Row],[INVENTAIRE]],-Matiere_premiere[[#This Row],[Entrée]],-Matiere_premiere[[#This Row],[Sortis]])</f>
        <v>11</v>
      </c>
      <c r="W345" s="50" t="str">
        <f>CONCATENATE(Matiere_premiere[[#This Row],[CODE COLEUR]],"_",Matiere_premiere[[#This Row],[COULEUR]],"_",Matiere_premiere[[#This Row],[CODE FAB]],"_",Matiere_premiere[[#This Row],[Num de Lot]])</f>
        <v>C16_GLACIER_NM15-16.01_61628</v>
      </c>
    </row>
    <row r="346" spans="1:23" ht="19.7" customHeight="1" thickTop="1" thickBot="1" x14ac:dyDescent="0.3">
      <c r="A346" s="67" t="str">
        <f>Matiere_premiere[[#This Row],[NUMERO METRIQUE]]</f>
        <v>NM15</v>
      </c>
      <c r="B346" s="70" t="str">
        <f>Matiere_premiere[[#This Row],[COULEUR]]</f>
        <v>GLACIER</v>
      </c>
      <c r="C346" s="70" t="str">
        <f>Matiere_premiere[[#This Row],[CODE COLEUR]]</f>
        <v>C16</v>
      </c>
      <c r="D346" s="73" t="str">
        <f>Matiere_premiere[[#This Row],[CODE FAB]]</f>
        <v>NM15-16.01</v>
      </c>
      <c r="E346" s="76" t="e" vm="124">
        <f>_xlfn.IMAGE("https://api.qrserver.com/v1/create-qr-code/?size=100x100&amp;data=" &amp; D346)</f>
        <v>#VALUE!</v>
      </c>
      <c r="F346" s="78"/>
      <c r="G346" s="73">
        <f>Matiere_premiere[[#This Row],[Num de Lot]]</f>
        <v>65338</v>
      </c>
      <c r="H346" s="76" t="e" vm="126">
        <f>_xlfn.IMAGE("https://api.qrserver.com/v1/create-qr-code/?size=100x100&amp;data=" &amp; G346)</f>
        <v>#VALUE!</v>
      </c>
      <c r="I346" s="80"/>
      <c r="J346" s="12" t="str">
        <f>Matiere_premiere[[#This Row],[Entrepot]]</f>
        <v>E1</v>
      </c>
      <c r="K346" s="9" t="b">
        <f>IF(Matiere_premiere[[#This Row],[INVENTAIRE]]&gt;0,TRUE,FALSE)</f>
        <v>0</v>
      </c>
      <c r="L346" s="65"/>
      <c r="M346" s="15" t="s">
        <v>103</v>
      </c>
      <c r="N346" s="15" t="s">
        <v>204</v>
      </c>
      <c r="O346" s="15" t="s">
        <v>201</v>
      </c>
      <c r="P346" s="15" t="s">
        <v>203</v>
      </c>
      <c r="Q346" s="56">
        <v>65338</v>
      </c>
      <c r="R346" s="8" t="s">
        <v>75</v>
      </c>
      <c r="S346" s="7">
        <v>0</v>
      </c>
      <c r="T346" s="7"/>
      <c r="U346" s="7"/>
      <c r="V346" s="7">
        <f>SUM(Matiere_premiere[[#This Row],[INVENTAIRE]],-Matiere_premiere[[#This Row],[Entrée]],-Matiere_premiere[[#This Row],[Sortis]])</f>
        <v>0</v>
      </c>
      <c r="W346" s="50" t="str">
        <f>CONCATENATE(Matiere_premiere[[#This Row],[CODE COLEUR]],"_",Matiere_premiere[[#This Row],[COULEUR]],"_",Matiere_premiere[[#This Row],[CODE FAB]],"_",Matiere_premiere[[#This Row],[Num de Lot]])</f>
        <v>C16_GLACIER_NM15-16.01_65338</v>
      </c>
    </row>
    <row r="347" spans="1:23" ht="19.7" customHeight="1" thickBot="1" x14ac:dyDescent="0.3">
      <c r="A347" s="68"/>
      <c r="B347" s="71"/>
      <c r="C347" s="71"/>
      <c r="D347" s="74"/>
      <c r="E347" s="76"/>
      <c r="F347" s="78"/>
      <c r="G347" s="74"/>
      <c r="H347" s="76"/>
      <c r="I347" s="80"/>
      <c r="J347" s="11" t="str">
        <f>Matiere_premiere[[#This Row],[Entrepot]]</f>
        <v>E2</v>
      </c>
      <c r="K347" s="9" t="b">
        <f>IF(Matiere_premiere[[#This Row],[INVENTAIRE]]&gt;0,TRUE,FALSE)</f>
        <v>0</v>
      </c>
      <c r="L347" s="65"/>
      <c r="M347" s="15" t="s">
        <v>103</v>
      </c>
      <c r="N347" s="15" t="s">
        <v>204</v>
      </c>
      <c r="O347" s="15" t="s">
        <v>201</v>
      </c>
      <c r="P347" s="15" t="s">
        <v>203</v>
      </c>
      <c r="Q347" s="56">
        <v>65338</v>
      </c>
      <c r="R347" s="8" t="s">
        <v>74</v>
      </c>
      <c r="S347" s="7">
        <v>0</v>
      </c>
      <c r="T347" s="7"/>
      <c r="U347" s="7"/>
      <c r="V347" s="7">
        <f>SUM(Matiere_premiere[[#This Row],[INVENTAIRE]],-Matiere_premiere[[#This Row],[Entrée]],-Matiere_premiere[[#This Row],[Sortis]])</f>
        <v>0</v>
      </c>
      <c r="W347" s="50" t="str">
        <f>CONCATENATE(Matiere_premiere[[#This Row],[CODE COLEUR]],"_",Matiere_premiere[[#This Row],[COULEUR]],"_",Matiere_premiere[[#This Row],[CODE FAB]],"_",Matiere_premiere[[#This Row],[Num de Lot]])</f>
        <v>C16_GLACIER_NM15-16.01_65338</v>
      </c>
    </row>
    <row r="348" spans="1:23" ht="19.7" customHeight="1" thickBot="1" x14ac:dyDescent="0.3">
      <c r="A348" s="68"/>
      <c r="B348" s="71"/>
      <c r="C348" s="71"/>
      <c r="D348" s="74"/>
      <c r="E348" s="76"/>
      <c r="F348" s="78"/>
      <c r="G348" s="74"/>
      <c r="H348" s="76"/>
      <c r="I348" s="80"/>
      <c r="J348" s="11" t="str">
        <f>Matiere_premiere[[#This Row],[Entrepot]]</f>
        <v>E3</v>
      </c>
      <c r="K348" s="9" t="b">
        <f>IF(Matiere_premiere[[#This Row],[INVENTAIRE]]&gt;0,TRUE,FALSE)</f>
        <v>0</v>
      </c>
      <c r="L348" s="65"/>
      <c r="M348" s="15" t="s">
        <v>103</v>
      </c>
      <c r="N348" s="15" t="s">
        <v>204</v>
      </c>
      <c r="O348" s="15" t="s">
        <v>201</v>
      </c>
      <c r="P348" s="15" t="s">
        <v>203</v>
      </c>
      <c r="Q348" s="56">
        <v>65338</v>
      </c>
      <c r="R348" s="8" t="s">
        <v>73</v>
      </c>
      <c r="S348" s="7">
        <v>0</v>
      </c>
      <c r="T348" s="7"/>
      <c r="U348" s="7"/>
      <c r="V348" s="7">
        <f>SUM(Matiere_premiere[[#This Row],[INVENTAIRE]],-Matiere_premiere[[#This Row],[Entrée]],-Matiere_premiere[[#This Row],[Sortis]])</f>
        <v>0</v>
      </c>
      <c r="W348" s="50" t="str">
        <f>CONCATENATE(Matiere_premiere[[#This Row],[CODE COLEUR]],"_",Matiere_premiere[[#This Row],[COULEUR]],"_",Matiere_premiere[[#This Row],[CODE FAB]],"_",Matiere_premiere[[#This Row],[Num de Lot]])</f>
        <v>C16_GLACIER_NM15-16.01_65338</v>
      </c>
    </row>
    <row r="349" spans="1:23" ht="19.7" customHeight="1" thickBot="1" x14ac:dyDescent="0.3">
      <c r="A349" s="69"/>
      <c r="B349" s="72"/>
      <c r="C349" s="72"/>
      <c r="D349" s="75"/>
      <c r="E349" s="77"/>
      <c r="F349" s="79"/>
      <c r="G349" s="75"/>
      <c r="H349" s="77"/>
      <c r="I349" s="81"/>
      <c r="J349" s="10" t="str">
        <f>Matiere_premiere[[#This Row],[Entrepot]]</f>
        <v>Usine</v>
      </c>
      <c r="K349" s="9" t="b">
        <f>IF(Matiere_premiere[[#This Row],[INVENTAIRE]]&gt;0,TRUE,FALSE)</f>
        <v>0</v>
      </c>
      <c r="L349" s="66"/>
      <c r="M349" s="8" t="s">
        <v>103</v>
      </c>
      <c r="N349" s="8" t="s">
        <v>204</v>
      </c>
      <c r="O349" s="8" t="s">
        <v>201</v>
      </c>
      <c r="P349" s="8" t="s">
        <v>203</v>
      </c>
      <c r="Q349" s="53">
        <v>65338</v>
      </c>
      <c r="R349" s="8" t="s">
        <v>68</v>
      </c>
      <c r="S349" s="7">
        <v>0</v>
      </c>
      <c r="T349" s="7"/>
      <c r="U349" s="7"/>
      <c r="V349" s="7">
        <f>SUM(Matiere_premiere[[#This Row],[INVENTAIRE]],-Matiere_premiere[[#This Row],[Entrée]],-Matiere_premiere[[#This Row],[Sortis]])</f>
        <v>0</v>
      </c>
      <c r="W349" s="50" t="str">
        <f>CONCATENATE(Matiere_premiere[[#This Row],[CODE COLEUR]],"_",Matiere_premiere[[#This Row],[COULEUR]],"_",Matiere_premiere[[#This Row],[CODE FAB]],"_",Matiere_premiere[[#This Row],[Num de Lot]])</f>
        <v>C16_GLACIER_NM15-16.01_65338</v>
      </c>
    </row>
    <row r="350" spans="1:23" ht="19.7" customHeight="1" thickTop="1" thickBot="1" x14ac:dyDescent="0.3">
      <c r="A350" s="67" t="str">
        <f>Matiere_premiere[[#This Row],[NUMERO METRIQUE]]</f>
        <v>NM20</v>
      </c>
      <c r="B350" s="70" t="str">
        <f>Matiere_premiere[[#This Row],[COULEUR]]</f>
        <v>BLEU CIEL</v>
      </c>
      <c r="C350" s="70" t="str">
        <f>Matiere_premiere[[#This Row],[CODE COLEUR]]</f>
        <v>C16</v>
      </c>
      <c r="D350" s="73" t="str">
        <f>Matiere_premiere[[#This Row],[CODE FAB]]</f>
        <v>NM20-16.00</v>
      </c>
      <c r="E350" s="76" t="e" vm="127">
        <f>_xlfn.IMAGE("https://api.qrserver.com/v1/create-qr-code/?size=100x100&amp;data=" &amp; D350)</f>
        <v>#VALUE!</v>
      </c>
      <c r="F350" s="78"/>
      <c r="G350" s="73" t="str">
        <f>Matiere_premiere[[#This Row],[Num de Lot]]</f>
        <v>S2023</v>
      </c>
      <c r="H350" s="76" t="e" vm="2">
        <f>_xlfn.IMAGE("https://api.qrserver.com/v1/create-qr-code/?size=100x100&amp;data=" &amp; G350)</f>
        <v>#VALUE!</v>
      </c>
      <c r="I350" s="80"/>
      <c r="J350" s="12" t="str">
        <f>Matiere_premiere[[#This Row],[Entrepot]]</f>
        <v>E1</v>
      </c>
      <c r="K350" s="9" t="b">
        <f>IF(Matiere_premiere[[#This Row],[INVENTAIRE]]&gt;0,TRUE,FALSE)</f>
        <v>0</v>
      </c>
      <c r="L350" s="65"/>
      <c r="M350" s="13" t="s">
        <v>82</v>
      </c>
      <c r="N350" s="13" t="s">
        <v>202</v>
      </c>
      <c r="O350" s="13" t="s">
        <v>201</v>
      </c>
      <c r="P350" s="13" t="s">
        <v>200</v>
      </c>
      <c r="Q350" s="55" t="s">
        <v>69</v>
      </c>
      <c r="R350" s="13" t="s">
        <v>75</v>
      </c>
      <c r="S350" s="14">
        <v>0</v>
      </c>
      <c r="T350" s="14"/>
      <c r="U350" s="14"/>
      <c r="V350" s="14">
        <f>SUM(Matiere_premiere[[#This Row],[INVENTAIRE]],-Matiere_premiere[[#This Row],[Entrée]],-Matiere_premiere[[#This Row],[Sortis]])</f>
        <v>0</v>
      </c>
      <c r="W350" s="50" t="str">
        <f>CONCATENATE(Matiere_premiere[[#This Row],[CODE COLEUR]],"_",Matiere_premiere[[#This Row],[COULEUR]],"_",Matiere_premiere[[#This Row],[CODE FAB]],"_",Matiere_premiere[[#This Row],[Num de Lot]])</f>
        <v>C16_BLEU CIEL_NM20-16.00_S2023</v>
      </c>
    </row>
    <row r="351" spans="1:23" ht="19.7" customHeight="1" thickBot="1" x14ac:dyDescent="0.3">
      <c r="A351" s="68"/>
      <c r="B351" s="71"/>
      <c r="C351" s="71"/>
      <c r="D351" s="74"/>
      <c r="E351" s="76"/>
      <c r="F351" s="78"/>
      <c r="G351" s="74"/>
      <c r="H351" s="76"/>
      <c r="I351" s="80"/>
      <c r="J351" s="11" t="str">
        <f>Matiere_premiere[[#This Row],[Entrepot]]</f>
        <v>E2</v>
      </c>
      <c r="K351" s="9" t="b">
        <f>IF(Matiere_premiere[[#This Row],[INVENTAIRE]]&gt;0,TRUE,FALSE)</f>
        <v>0</v>
      </c>
      <c r="L351" s="65"/>
      <c r="M351" s="13" t="s">
        <v>82</v>
      </c>
      <c r="N351" s="13" t="s">
        <v>202</v>
      </c>
      <c r="O351" s="13" t="s">
        <v>201</v>
      </c>
      <c r="P351" s="13" t="s">
        <v>200</v>
      </c>
      <c r="Q351" s="55" t="s">
        <v>69</v>
      </c>
      <c r="R351" s="13" t="s">
        <v>74</v>
      </c>
      <c r="S351" s="14">
        <v>0</v>
      </c>
      <c r="T351" s="14"/>
      <c r="U351" s="14"/>
      <c r="V351" s="14">
        <f>SUM(Matiere_premiere[[#This Row],[INVENTAIRE]],-Matiere_premiere[[#This Row],[Entrée]],-Matiere_premiere[[#This Row],[Sortis]])</f>
        <v>0</v>
      </c>
      <c r="W351" s="50" t="str">
        <f>CONCATENATE(Matiere_premiere[[#This Row],[CODE COLEUR]],"_",Matiere_premiere[[#This Row],[COULEUR]],"_",Matiere_premiere[[#This Row],[CODE FAB]],"_",Matiere_premiere[[#This Row],[Num de Lot]])</f>
        <v>C16_BLEU CIEL_NM20-16.00_S2023</v>
      </c>
    </row>
    <row r="352" spans="1:23" ht="19.7" customHeight="1" thickBot="1" x14ac:dyDescent="0.3">
      <c r="A352" s="68"/>
      <c r="B352" s="71"/>
      <c r="C352" s="71"/>
      <c r="D352" s="74"/>
      <c r="E352" s="76"/>
      <c r="F352" s="78"/>
      <c r="G352" s="74"/>
      <c r="H352" s="76"/>
      <c r="I352" s="80"/>
      <c r="J352" s="11" t="str">
        <f>Matiere_premiere[[#This Row],[Entrepot]]</f>
        <v>E3</v>
      </c>
      <c r="K352" s="9" t="b">
        <f>IF(Matiere_premiere[[#This Row],[INVENTAIRE]]&gt;0,TRUE,FALSE)</f>
        <v>0</v>
      </c>
      <c r="L352" s="65"/>
      <c r="M352" s="13" t="s">
        <v>82</v>
      </c>
      <c r="N352" s="13" t="s">
        <v>202</v>
      </c>
      <c r="O352" s="13" t="s">
        <v>201</v>
      </c>
      <c r="P352" s="13" t="s">
        <v>200</v>
      </c>
      <c r="Q352" s="55" t="s">
        <v>69</v>
      </c>
      <c r="R352" s="13" t="s">
        <v>73</v>
      </c>
      <c r="S352" s="14">
        <v>0</v>
      </c>
      <c r="T352" s="14"/>
      <c r="U352" s="14"/>
      <c r="V352" s="14">
        <f>SUM(Matiere_premiere[[#This Row],[INVENTAIRE]],-Matiere_premiere[[#This Row],[Entrée]],-Matiere_premiere[[#This Row],[Sortis]])</f>
        <v>0</v>
      </c>
      <c r="W352" s="50" t="str">
        <f>CONCATENATE(Matiere_premiere[[#This Row],[CODE COLEUR]],"_",Matiere_premiere[[#This Row],[COULEUR]],"_",Matiere_premiere[[#This Row],[CODE FAB]],"_",Matiere_premiere[[#This Row],[Num de Lot]])</f>
        <v>C16_BLEU CIEL_NM20-16.00_S2023</v>
      </c>
    </row>
    <row r="353" spans="1:23" ht="19.7" customHeight="1" thickBot="1" x14ac:dyDescent="0.3">
      <c r="A353" s="69"/>
      <c r="B353" s="72"/>
      <c r="C353" s="72"/>
      <c r="D353" s="75"/>
      <c r="E353" s="77"/>
      <c r="F353" s="79"/>
      <c r="G353" s="75"/>
      <c r="H353" s="77"/>
      <c r="I353" s="81"/>
      <c r="J353" s="10" t="str">
        <f>Matiere_premiere[[#This Row],[Entrepot]]</f>
        <v>Usine</v>
      </c>
      <c r="K353" s="9" t="b">
        <f>IF(Matiere_premiere[[#This Row],[INVENTAIRE]]&gt;0,TRUE,FALSE)</f>
        <v>1</v>
      </c>
      <c r="L353" s="66"/>
      <c r="M353" s="13" t="s">
        <v>82</v>
      </c>
      <c r="N353" s="13" t="s">
        <v>202</v>
      </c>
      <c r="O353" s="13" t="s">
        <v>201</v>
      </c>
      <c r="P353" s="13" t="s">
        <v>200</v>
      </c>
      <c r="Q353" s="55" t="s">
        <v>69</v>
      </c>
      <c r="R353" s="13" t="s">
        <v>68</v>
      </c>
      <c r="S353" s="14">
        <v>805</v>
      </c>
      <c r="T353" s="14"/>
      <c r="U353" s="14"/>
      <c r="V353" s="14">
        <f>SUM(Matiere_premiere[[#This Row],[INVENTAIRE]],-Matiere_premiere[[#This Row],[Entrée]],-Matiere_premiere[[#This Row],[Sortis]])</f>
        <v>805</v>
      </c>
      <c r="W353" s="50" t="str">
        <f>CONCATENATE(Matiere_premiere[[#This Row],[CODE COLEUR]],"_",Matiere_premiere[[#This Row],[COULEUR]],"_",Matiere_premiere[[#This Row],[CODE FAB]],"_",Matiere_premiere[[#This Row],[Num de Lot]])</f>
        <v>C16_BLEU CIEL_NM20-16.00_S2023</v>
      </c>
    </row>
    <row r="354" spans="1:23" ht="19.7" customHeight="1" thickTop="1" thickBot="1" x14ac:dyDescent="0.3">
      <c r="A354" s="67" t="str">
        <f>Matiere_premiere[[#This Row],[NUMERO METRIQUE]]</f>
        <v>NM15</v>
      </c>
      <c r="B354" s="70" t="str">
        <f>Matiere_premiere[[#This Row],[COULEUR]]</f>
        <v>EMAURAUDE</v>
      </c>
      <c r="C354" s="70" t="str">
        <f>Matiere_premiere[[#This Row],[CODE COLEUR]]</f>
        <v>C17</v>
      </c>
      <c r="D354" s="73" t="str">
        <f>Matiere_premiere[[#This Row],[CODE FAB]]</f>
        <v>NM15-17.00</v>
      </c>
      <c r="E354" s="76" t="e" vm="128">
        <f>_xlfn.IMAGE("https://api.qrserver.com/v1/create-qr-code/?size=100x100&amp;data=" &amp; D354)</f>
        <v>#VALUE!</v>
      </c>
      <c r="F354" s="78"/>
      <c r="G354" s="73">
        <f>Matiere_premiere[[#This Row],[Num de Lot]]</f>
        <v>61571</v>
      </c>
      <c r="H354" s="76" t="e" vm="129">
        <f>_xlfn.IMAGE("https://api.qrserver.com/v1/create-qr-code/?size=100x100&amp;data=" &amp; G354)</f>
        <v>#VALUE!</v>
      </c>
      <c r="I354" s="80"/>
      <c r="J354" s="12" t="str">
        <f>Matiere_premiere[[#This Row],[Entrepot]]</f>
        <v>E1</v>
      </c>
      <c r="K354" s="9" t="b">
        <f>IF(Matiere_premiere[[#This Row],[INVENTAIRE]]&gt;0,TRUE,FALSE)</f>
        <v>1</v>
      </c>
      <c r="L354" s="65"/>
      <c r="M354" s="8" t="s">
        <v>103</v>
      </c>
      <c r="N354" s="8" t="s">
        <v>198</v>
      </c>
      <c r="O354" s="8" t="s">
        <v>197</v>
      </c>
      <c r="P354" s="8" t="s">
        <v>199</v>
      </c>
      <c r="Q354" s="53">
        <v>61571</v>
      </c>
      <c r="R354" s="8" t="s">
        <v>75</v>
      </c>
      <c r="S354" s="7">
        <v>486.5</v>
      </c>
      <c r="T354" s="7"/>
      <c r="U354" s="7"/>
      <c r="V354" s="7">
        <f>SUM(Matiere_premiere[[#This Row],[INVENTAIRE]],-Matiere_premiere[[#This Row],[Entrée]],-Matiere_premiere[[#This Row],[Sortis]])</f>
        <v>486.5</v>
      </c>
      <c r="W354" s="50" t="str">
        <f>CONCATENATE(Matiere_premiere[[#This Row],[CODE COLEUR]],"_",Matiere_premiere[[#This Row],[COULEUR]],"_",Matiere_premiere[[#This Row],[CODE FAB]],"_",Matiere_premiere[[#This Row],[Num de Lot]])</f>
        <v>C17_EMAURAUDE_NM15-17.00_61571</v>
      </c>
    </row>
    <row r="355" spans="1:23" ht="19.7" customHeight="1" thickBot="1" x14ac:dyDescent="0.3">
      <c r="A355" s="68"/>
      <c r="B355" s="71"/>
      <c r="C355" s="71"/>
      <c r="D355" s="74"/>
      <c r="E355" s="76"/>
      <c r="F355" s="78"/>
      <c r="G355" s="74"/>
      <c r="H355" s="76"/>
      <c r="I355" s="80"/>
      <c r="J355" s="11" t="str">
        <f>Matiere_premiere[[#This Row],[Entrepot]]</f>
        <v>E2</v>
      </c>
      <c r="K355" s="9" t="b">
        <f>IF(Matiere_premiere[[#This Row],[INVENTAIRE]]&gt;0,TRUE,FALSE)</f>
        <v>0</v>
      </c>
      <c r="L355" s="65"/>
      <c r="M355" s="8" t="s">
        <v>103</v>
      </c>
      <c r="N355" s="8" t="s">
        <v>198</v>
      </c>
      <c r="O355" s="8" t="s">
        <v>197</v>
      </c>
      <c r="P355" s="8" t="s">
        <v>199</v>
      </c>
      <c r="Q355" s="53">
        <v>61571</v>
      </c>
      <c r="R355" s="8" t="s">
        <v>74</v>
      </c>
      <c r="S355" s="7">
        <v>0</v>
      </c>
      <c r="T355" s="7"/>
      <c r="U355" s="7"/>
      <c r="V355" s="7">
        <f>SUM(Matiere_premiere[[#This Row],[INVENTAIRE]],-Matiere_premiere[[#This Row],[Entrée]],-Matiere_premiere[[#This Row],[Sortis]])</f>
        <v>0</v>
      </c>
      <c r="W355" s="50" t="str">
        <f>CONCATENATE(Matiere_premiere[[#This Row],[CODE COLEUR]],"_",Matiere_premiere[[#This Row],[COULEUR]],"_",Matiere_premiere[[#This Row],[CODE FAB]],"_",Matiere_premiere[[#This Row],[Num de Lot]])</f>
        <v>C17_EMAURAUDE_NM15-17.00_61571</v>
      </c>
    </row>
    <row r="356" spans="1:23" ht="19.7" customHeight="1" thickBot="1" x14ac:dyDescent="0.3">
      <c r="A356" s="68"/>
      <c r="B356" s="71"/>
      <c r="C356" s="71"/>
      <c r="D356" s="74"/>
      <c r="E356" s="76"/>
      <c r="F356" s="78"/>
      <c r="G356" s="74"/>
      <c r="H356" s="76"/>
      <c r="I356" s="80"/>
      <c r="J356" s="11" t="str">
        <f>Matiere_premiere[[#This Row],[Entrepot]]</f>
        <v>E3</v>
      </c>
      <c r="K356" s="9" t="b">
        <f>IF(Matiere_premiere[[#This Row],[INVENTAIRE]]&gt;0,TRUE,FALSE)</f>
        <v>0</v>
      </c>
      <c r="L356" s="65"/>
      <c r="M356" s="8" t="s">
        <v>103</v>
      </c>
      <c r="N356" s="8" t="s">
        <v>198</v>
      </c>
      <c r="O356" s="8" t="s">
        <v>197</v>
      </c>
      <c r="P356" s="8" t="s">
        <v>199</v>
      </c>
      <c r="Q356" s="53">
        <v>61571</v>
      </c>
      <c r="R356" s="8" t="s">
        <v>73</v>
      </c>
      <c r="S356" s="7">
        <v>0</v>
      </c>
      <c r="T356" s="7"/>
      <c r="U356" s="7"/>
      <c r="V356" s="7">
        <f>SUM(Matiere_premiere[[#This Row],[INVENTAIRE]],-Matiere_premiere[[#This Row],[Entrée]],-Matiere_premiere[[#This Row],[Sortis]])</f>
        <v>0</v>
      </c>
      <c r="W356" s="50" t="str">
        <f>CONCATENATE(Matiere_premiere[[#This Row],[CODE COLEUR]],"_",Matiere_premiere[[#This Row],[COULEUR]],"_",Matiere_premiere[[#This Row],[CODE FAB]],"_",Matiere_premiere[[#This Row],[Num de Lot]])</f>
        <v>C17_EMAURAUDE_NM15-17.00_61571</v>
      </c>
    </row>
    <row r="357" spans="1:23" ht="19.7" customHeight="1" thickBot="1" x14ac:dyDescent="0.3">
      <c r="A357" s="69"/>
      <c r="B357" s="72"/>
      <c r="C357" s="72"/>
      <c r="D357" s="75"/>
      <c r="E357" s="77"/>
      <c r="F357" s="79"/>
      <c r="G357" s="75"/>
      <c r="H357" s="77"/>
      <c r="I357" s="81"/>
      <c r="J357" s="10" t="str">
        <f>Matiere_premiere[[#This Row],[Entrepot]]</f>
        <v>Usine</v>
      </c>
      <c r="K357" s="9" t="b">
        <f>IF(Matiere_premiere[[#This Row],[INVENTAIRE]]&gt;0,TRUE,FALSE)</f>
        <v>1</v>
      </c>
      <c r="L357" s="66"/>
      <c r="M357" s="8" t="s">
        <v>103</v>
      </c>
      <c r="N357" s="8" t="s">
        <v>198</v>
      </c>
      <c r="O357" s="8" t="s">
        <v>197</v>
      </c>
      <c r="P357" s="8" t="s">
        <v>199</v>
      </c>
      <c r="Q357" s="53">
        <v>61571</v>
      </c>
      <c r="R357" s="8" t="s">
        <v>68</v>
      </c>
      <c r="S357" s="7">
        <v>116</v>
      </c>
      <c r="T357" s="7"/>
      <c r="U357" s="7"/>
      <c r="V357" s="7">
        <f>SUM(Matiere_premiere[[#This Row],[INVENTAIRE]],-Matiere_premiere[[#This Row],[Entrée]],-Matiere_premiere[[#This Row],[Sortis]])</f>
        <v>116</v>
      </c>
      <c r="W357" s="50" t="str">
        <f>CONCATENATE(Matiere_premiere[[#This Row],[CODE COLEUR]],"_",Matiere_premiere[[#This Row],[COULEUR]],"_",Matiere_premiere[[#This Row],[CODE FAB]],"_",Matiere_premiere[[#This Row],[Num de Lot]])</f>
        <v>C17_EMAURAUDE_NM15-17.00_61571</v>
      </c>
    </row>
    <row r="358" spans="1:23" ht="19.7" customHeight="1" thickTop="1" thickBot="1" x14ac:dyDescent="0.3">
      <c r="A358" s="67" t="str">
        <f>Matiere_premiere[[#This Row],[NUMERO METRIQUE]]</f>
        <v>NM15</v>
      </c>
      <c r="B358" s="70" t="str">
        <f>Matiere_premiere[[#This Row],[COULEUR]]</f>
        <v>EMAURAUDE</v>
      </c>
      <c r="C358" s="70" t="str">
        <f>Matiere_premiere[[#This Row],[CODE COLEUR]]</f>
        <v>C17</v>
      </c>
      <c r="D358" s="73" t="str">
        <f>Matiere_premiere[[#This Row],[CODE FAB]]</f>
        <v>NM15-17.01</v>
      </c>
      <c r="E358" s="76" t="e" vm="130">
        <f>_xlfn.IMAGE("https://api.qrserver.com/v1/create-qr-code/?size=100x100&amp;data=" &amp; D358)</f>
        <v>#VALUE!</v>
      </c>
      <c r="F358" s="78"/>
      <c r="G358" s="73" t="str">
        <f>Matiere_premiere[[#This Row],[Num de Lot]]</f>
        <v>S2022</v>
      </c>
      <c r="H358" s="76" t="e" vm="82">
        <f>_xlfn.IMAGE("https://api.qrserver.com/v1/create-qr-code/?size=100x100&amp;data=" &amp; G358)</f>
        <v>#VALUE!</v>
      </c>
      <c r="I358" s="80"/>
      <c r="J358" s="12" t="str">
        <f>Matiere_premiere[[#This Row],[Entrepot]]</f>
        <v>E1</v>
      </c>
      <c r="K358" s="9" t="b">
        <f>IF(Matiere_premiere[[#This Row],[INVENTAIRE]]&gt;0,TRUE,FALSE)</f>
        <v>1</v>
      </c>
      <c r="L358" s="65"/>
      <c r="M358" s="13" t="s">
        <v>103</v>
      </c>
      <c r="N358" s="13" t="s">
        <v>198</v>
      </c>
      <c r="O358" s="13" t="s">
        <v>197</v>
      </c>
      <c r="P358" s="13" t="s">
        <v>196</v>
      </c>
      <c r="Q358" s="55" t="s">
        <v>107</v>
      </c>
      <c r="R358" s="13" t="s">
        <v>75</v>
      </c>
      <c r="S358" s="14">
        <v>437.5</v>
      </c>
      <c r="T358" s="14"/>
      <c r="U358" s="14"/>
      <c r="V358" s="14">
        <f>SUM(Matiere_premiere[[#This Row],[INVENTAIRE]],-Matiere_premiere[[#This Row],[Entrée]],-Matiere_premiere[[#This Row],[Sortis]])</f>
        <v>437.5</v>
      </c>
      <c r="W358" s="50" t="str">
        <f>CONCATENATE(Matiere_premiere[[#This Row],[CODE COLEUR]],"_",Matiere_premiere[[#This Row],[COULEUR]],"_",Matiere_premiere[[#This Row],[CODE FAB]],"_",Matiere_premiere[[#This Row],[Num de Lot]])</f>
        <v>C17_EMAURAUDE_NM15-17.01_S2022</v>
      </c>
    </row>
    <row r="359" spans="1:23" ht="19.7" customHeight="1" thickBot="1" x14ac:dyDescent="0.3">
      <c r="A359" s="68"/>
      <c r="B359" s="71"/>
      <c r="C359" s="71"/>
      <c r="D359" s="74"/>
      <c r="E359" s="76"/>
      <c r="F359" s="78"/>
      <c r="G359" s="74"/>
      <c r="H359" s="76"/>
      <c r="I359" s="80"/>
      <c r="J359" s="11" t="str">
        <f>Matiere_premiere[[#This Row],[Entrepot]]</f>
        <v>E2</v>
      </c>
      <c r="K359" s="9" t="b">
        <f>IF(Matiere_premiere[[#This Row],[INVENTAIRE]]&gt;0,TRUE,FALSE)</f>
        <v>0</v>
      </c>
      <c r="L359" s="65"/>
      <c r="M359" s="13" t="s">
        <v>103</v>
      </c>
      <c r="N359" s="13" t="s">
        <v>198</v>
      </c>
      <c r="O359" s="13" t="s">
        <v>197</v>
      </c>
      <c r="P359" s="13" t="s">
        <v>196</v>
      </c>
      <c r="Q359" s="55" t="s">
        <v>107</v>
      </c>
      <c r="R359" s="13" t="s">
        <v>74</v>
      </c>
      <c r="S359" s="14">
        <v>0</v>
      </c>
      <c r="T359" s="14"/>
      <c r="U359" s="14"/>
      <c r="V359" s="14">
        <f>SUM(Matiere_premiere[[#This Row],[INVENTAIRE]],-Matiere_premiere[[#This Row],[Entrée]],-Matiere_premiere[[#This Row],[Sortis]])</f>
        <v>0</v>
      </c>
      <c r="W359" s="50" t="str">
        <f>CONCATENATE(Matiere_premiere[[#This Row],[CODE COLEUR]],"_",Matiere_premiere[[#This Row],[COULEUR]],"_",Matiere_premiere[[#This Row],[CODE FAB]],"_",Matiere_premiere[[#This Row],[Num de Lot]])</f>
        <v>C17_EMAURAUDE_NM15-17.01_S2022</v>
      </c>
    </row>
    <row r="360" spans="1:23" ht="19.7" customHeight="1" thickBot="1" x14ac:dyDescent="0.3">
      <c r="A360" s="68"/>
      <c r="B360" s="71"/>
      <c r="C360" s="71"/>
      <c r="D360" s="74"/>
      <c r="E360" s="76"/>
      <c r="F360" s="78"/>
      <c r="G360" s="74"/>
      <c r="H360" s="76"/>
      <c r="I360" s="80"/>
      <c r="J360" s="11" t="str">
        <f>Matiere_premiere[[#This Row],[Entrepot]]</f>
        <v>E3</v>
      </c>
      <c r="K360" s="9" t="b">
        <f>IF(Matiere_premiere[[#This Row],[INVENTAIRE]]&gt;0,TRUE,FALSE)</f>
        <v>0</v>
      </c>
      <c r="L360" s="65"/>
      <c r="M360" s="13" t="s">
        <v>103</v>
      </c>
      <c r="N360" s="13" t="s">
        <v>198</v>
      </c>
      <c r="O360" s="13" t="s">
        <v>197</v>
      </c>
      <c r="P360" s="13" t="s">
        <v>196</v>
      </c>
      <c r="Q360" s="55" t="s">
        <v>107</v>
      </c>
      <c r="R360" s="13" t="s">
        <v>73</v>
      </c>
      <c r="S360" s="14">
        <v>0</v>
      </c>
      <c r="T360" s="14"/>
      <c r="U360" s="14"/>
      <c r="V360" s="14">
        <f>SUM(Matiere_premiere[[#This Row],[INVENTAIRE]],-Matiere_premiere[[#This Row],[Entrée]],-Matiere_premiere[[#This Row],[Sortis]])</f>
        <v>0</v>
      </c>
      <c r="W360" s="50" t="str">
        <f>CONCATENATE(Matiere_premiere[[#This Row],[CODE COLEUR]],"_",Matiere_premiere[[#This Row],[COULEUR]],"_",Matiere_premiere[[#This Row],[CODE FAB]],"_",Matiere_premiere[[#This Row],[Num de Lot]])</f>
        <v>C17_EMAURAUDE_NM15-17.01_S2022</v>
      </c>
    </row>
    <row r="361" spans="1:23" ht="19.7" customHeight="1" thickBot="1" x14ac:dyDescent="0.3">
      <c r="A361" s="69"/>
      <c r="B361" s="72"/>
      <c r="C361" s="72"/>
      <c r="D361" s="75"/>
      <c r="E361" s="77"/>
      <c r="F361" s="79"/>
      <c r="G361" s="75"/>
      <c r="H361" s="77"/>
      <c r="I361" s="81"/>
      <c r="J361" s="10" t="str">
        <f>Matiere_premiere[[#This Row],[Entrepot]]</f>
        <v>Usine</v>
      </c>
      <c r="K361" s="9" t="b">
        <f>IF(Matiere_premiere[[#This Row],[INVENTAIRE]]&gt;0,TRUE,FALSE)</f>
        <v>0</v>
      </c>
      <c r="L361" s="66"/>
      <c r="M361" s="13" t="s">
        <v>103</v>
      </c>
      <c r="N361" s="13" t="s">
        <v>198</v>
      </c>
      <c r="O361" s="13" t="s">
        <v>197</v>
      </c>
      <c r="P361" s="13" t="s">
        <v>196</v>
      </c>
      <c r="Q361" s="55" t="s">
        <v>107</v>
      </c>
      <c r="R361" s="13" t="s">
        <v>68</v>
      </c>
      <c r="S361" s="14">
        <v>0</v>
      </c>
      <c r="T361" s="14"/>
      <c r="U361" s="14"/>
      <c r="V361" s="14">
        <f>SUM(Matiere_premiere[[#This Row],[INVENTAIRE]],-Matiere_premiere[[#This Row],[Entrée]],-Matiere_premiere[[#This Row],[Sortis]])</f>
        <v>0</v>
      </c>
      <c r="W361" s="50" t="str">
        <f>CONCATENATE(Matiere_premiere[[#This Row],[CODE COLEUR]],"_",Matiere_premiere[[#This Row],[COULEUR]],"_",Matiere_premiere[[#This Row],[CODE FAB]],"_",Matiere_premiere[[#This Row],[Num de Lot]])</f>
        <v>C17_EMAURAUDE_NM15-17.01_S2022</v>
      </c>
    </row>
    <row r="362" spans="1:23" ht="19.7" customHeight="1" thickTop="1" thickBot="1" x14ac:dyDescent="0.3">
      <c r="A362" s="67" t="str">
        <f>Matiere_premiere[[#This Row],[NUMERO METRIQUE]]</f>
        <v>NM05</v>
      </c>
      <c r="B362" s="70" t="str">
        <f>Matiere_premiere[[#This Row],[COULEUR]]</f>
        <v>VERT D'EAU CLAIR</v>
      </c>
      <c r="C362" s="70" t="str">
        <f>Matiere_premiere[[#This Row],[CODE COLEUR]]</f>
        <v>C18</v>
      </c>
      <c r="D362" s="73" t="str">
        <f>Matiere_premiere[[#This Row],[CODE FAB]]</f>
        <v>NM05-18.01</v>
      </c>
      <c r="E362" s="76" t="e" vm="131">
        <f>_xlfn.IMAGE("https://api.qrserver.com/v1/create-qr-code/?size=100x100&amp;data=" &amp; D362)</f>
        <v>#VALUE!</v>
      </c>
      <c r="F362" s="78"/>
      <c r="G362" s="73">
        <f>Matiere_premiere[[#This Row],[Num de Lot]]</f>
        <v>59842</v>
      </c>
      <c r="H362" s="76" t="e" vm="132">
        <f>_xlfn.IMAGE("https://api.qrserver.com/v1/create-qr-code/?size=100x100&amp;data=" &amp; G362)</f>
        <v>#VALUE!</v>
      </c>
      <c r="I362" s="80"/>
      <c r="J362" s="12" t="str">
        <f>Matiere_premiere[[#This Row],[Entrepot]]</f>
        <v>E1</v>
      </c>
      <c r="K362" s="9" t="b">
        <f>IF(Matiere_premiere[[#This Row],[INVENTAIRE]]&gt;0,TRUE,FALSE)</f>
        <v>0</v>
      </c>
      <c r="L362" s="65"/>
      <c r="M362" s="8" t="s">
        <v>119</v>
      </c>
      <c r="N362" s="8" t="s">
        <v>192</v>
      </c>
      <c r="O362" s="8" t="s">
        <v>191</v>
      </c>
      <c r="P362" s="8" t="s">
        <v>195</v>
      </c>
      <c r="Q362" s="53">
        <v>59842</v>
      </c>
      <c r="R362" s="8" t="s">
        <v>75</v>
      </c>
      <c r="S362" s="7">
        <v>0</v>
      </c>
      <c r="T362" s="7"/>
      <c r="U362" s="7"/>
      <c r="V362" s="7">
        <f>SUM(Matiere_premiere[[#This Row],[INVENTAIRE]],-Matiere_premiere[[#This Row],[Entrée]],-Matiere_premiere[[#This Row],[Sortis]])</f>
        <v>0</v>
      </c>
      <c r="W362" s="50" t="str">
        <f>CONCATENATE(Matiere_premiere[[#This Row],[CODE COLEUR]],"_",Matiere_premiere[[#This Row],[COULEUR]],"_",Matiere_premiere[[#This Row],[CODE FAB]],"_",Matiere_premiere[[#This Row],[Num de Lot]])</f>
        <v>C18_VERT D'EAU CLAIR_NM05-18.01_59842</v>
      </c>
    </row>
    <row r="363" spans="1:23" ht="19.7" customHeight="1" thickBot="1" x14ac:dyDescent="0.3">
      <c r="A363" s="68"/>
      <c r="B363" s="71"/>
      <c r="C363" s="71"/>
      <c r="D363" s="74"/>
      <c r="E363" s="76"/>
      <c r="F363" s="78"/>
      <c r="G363" s="74"/>
      <c r="H363" s="76"/>
      <c r="I363" s="80"/>
      <c r="J363" s="11" t="str">
        <f>Matiere_premiere[[#This Row],[Entrepot]]</f>
        <v>E2</v>
      </c>
      <c r="K363" s="9" t="b">
        <f>IF(Matiere_premiere[[#This Row],[INVENTAIRE]]&gt;0,TRUE,FALSE)</f>
        <v>0</v>
      </c>
      <c r="L363" s="65"/>
      <c r="M363" s="8" t="s">
        <v>119</v>
      </c>
      <c r="N363" s="8" t="s">
        <v>192</v>
      </c>
      <c r="O363" s="8" t="s">
        <v>191</v>
      </c>
      <c r="P363" s="8" t="s">
        <v>195</v>
      </c>
      <c r="Q363" s="53">
        <v>59842</v>
      </c>
      <c r="R363" s="8" t="s">
        <v>74</v>
      </c>
      <c r="S363" s="7">
        <v>0</v>
      </c>
      <c r="T363" s="7"/>
      <c r="U363" s="7"/>
      <c r="V363" s="7">
        <f>SUM(Matiere_premiere[[#This Row],[INVENTAIRE]],-Matiere_premiere[[#This Row],[Entrée]],-Matiere_premiere[[#This Row],[Sortis]])</f>
        <v>0</v>
      </c>
      <c r="W363" s="50" t="str">
        <f>CONCATENATE(Matiere_premiere[[#This Row],[CODE COLEUR]],"_",Matiere_premiere[[#This Row],[COULEUR]],"_",Matiere_premiere[[#This Row],[CODE FAB]],"_",Matiere_premiere[[#This Row],[Num de Lot]])</f>
        <v>C18_VERT D'EAU CLAIR_NM05-18.01_59842</v>
      </c>
    </row>
    <row r="364" spans="1:23" ht="19.7" customHeight="1" thickBot="1" x14ac:dyDescent="0.3">
      <c r="A364" s="68"/>
      <c r="B364" s="71"/>
      <c r="C364" s="71"/>
      <c r="D364" s="74"/>
      <c r="E364" s="76"/>
      <c r="F364" s="78"/>
      <c r="G364" s="74"/>
      <c r="H364" s="76"/>
      <c r="I364" s="80"/>
      <c r="J364" s="11" t="str">
        <f>Matiere_premiere[[#This Row],[Entrepot]]</f>
        <v>E3</v>
      </c>
      <c r="K364" s="9" t="b">
        <f>IF(Matiere_premiere[[#This Row],[INVENTAIRE]]&gt;0,TRUE,FALSE)</f>
        <v>1</v>
      </c>
      <c r="L364" s="65"/>
      <c r="M364" s="8" t="s">
        <v>119</v>
      </c>
      <c r="N364" s="8" t="s">
        <v>192</v>
      </c>
      <c r="O364" s="8" t="s">
        <v>191</v>
      </c>
      <c r="P364" s="8" t="s">
        <v>195</v>
      </c>
      <c r="Q364" s="53">
        <v>59842</v>
      </c>
      <c r="R364" s="8" t="s">
        <v>73</v>
      </c>
      <c r="S364" s="7">
        <v>150.5</v>
      </c>
      <c r="T364" s="7"/>
      <c r="U364" s="7"/>
      <c r="V364" s="7">
        <f>SUM(Matiere_premiere[[#This Row],[INVENTAIRE]],-Matiere_premiere[[#This Row],[Entrée]],-Matiere_premiere[[#This Row],[Sortis]])</f>
        <v>150.5</v>
      </c>
      <c r="W364" s="50" t="str">
        <f>CONCATENATE(Matiere_premiere[[#This Row],[CODE COLEUR]],"_",Matiere_premiere[[#This Row],[COULEUR]],"_",Matiere_premiere[[#This Row],[CODE FAB]],"_",Matiere_premiere[[#This Row],[Num de Lot]])</f>
        <v>C18_VERT D'EAU CLAIR_NM05-18.01_59842</v>
      </c>
    </row>
    <row r="365" spans="1:23" ht="19.7" customHeight="1" thickBot="1" x14ac:dyDescent="0.3">
      <c r="A365" s="69"/>
      <c r="B365" s="72"/>
      <c r="C365" s="72"/>
      <c r="D365" s="75"/>
      <c r="E365" s="77"/>
      <c r="F365" s="79"/>
      <c r="G365" s="75"/>
      <c r="H365" s="77"/>
      <c r="I365" s="81"/>
      <c r="J365" s="10" t="str">
        <f>Matiere_premiere[[#This Row],[Entrepot]]</f>
        <v>Usine</v>
      </c>
      <c r="K365" s="9" t="b">
        <f>IF(Matiere_premiere[[#This Row],[INVENTAIRE]]&gt;0,TRUE,FALSE)</f>
        <v>0</v>
      </c>
      <c r="L365" s="66"/>
      <c r="M365" s="8" t="s">
        <v>119</v>
      </c>
      <c r="N365" s="8" t="s">
        <v>192</v>
      </c>
      <c r="O365" s="8" t="s">
        <v>191</v>
      </c>
      <c r="P365" s="8" t="s">
        <v>195</v>
      </c>
      <c r="Q365" s="53">
        <v>59842</v>
      </c>
      <c r="R365" s="8" t="s">
        <v>68</v>
      </c>
      <c r="S365" s="7">
        <v>0</v>
      </c>
      <c r="T365" s="7"/>
      <c r="U365" s="7"/>
      <c r="V365" s="7">
        <f>SUM(Matiere_premiere[[#This Row],[INVENTAIRE]],-Matiere_premiere[[#This Row],[Entrée]],-Matiere_premiere[[#This Row],[Sortis]])</f>
        <v>0</v>
      </c>
      <c r="W365" s="50" t="str">
        <f>CONCATENATE(Matiere_premiere[[#This Row],[CODE COLEUR]],"_",Matiere_premiere[[#This Row],[COULEUR]],"_",Matiere_premiere[[#This Row],[CODE FAB]],"_",Matiere_premiere[[#This Row],[Num de Lot]])</f>
        <v>C18_VERT D'EAU CLAIR_NM05-18.01_59842</v>
      </c>
    </row>
    <row r="366" spans="1:23" ht="19.7" customHeight="1" thickTop="1" thickBot="1" x14ac:dyDescent="0.3">
      <c r="A366" s="67" t="str">
        <f>Matiere_premiere[[#This Row],[NUMERO METRIQUE]]</f>
        <v>NM15</v>
      </c>
      <c r="B366" s="70" t="str">
        <f>Matiere_premiere[[#This Row],[COULEUR]]</f>
        <v xml:space="preserve">VERT D'EAU </v>
      </c>
      <c r="C366" s="70" t="str">
        <f>Matiere_premiere[[#This Row],[CODE COLEUR]]</f>
        <v>C18</v>
      </c>
      <c r="D366" s="73" t="str">
        <f>Matiere_premiere[[#This Row],[CODE FAB]]</f>
        <v>NM15-18.00</v>
      </c>
      <c r="E366" s="76" t="e" vm="133">
        <f>_xlfn.IMAGE("https://api.qrserver.com/v1/create-qr-code/?size=100x100&amp;data=" &amp; D366)</f>
        <v>#VALUE!</v>
      </c>
      <c r="F366" s="78"/>
      <c r="G366" s="73">
        <f>Matiere_premiere[[#This Row],[Num de Lot]]</f>
        <v>61535</v>
      </c>
      <c r="H366" s="76" t="e" vm="134">
        <f>_xlfn.IMAGE("https://api.qrserver.com/v1/create-qr-code/?size=100x100&amp;data=" &amp; G366)</f>
        <v>#VALUE!</v>
      </c>
      <c r="I366" s="80"/>
      <c r="J366" s="12" t="str">
        <f>Matiere_premiere[[#This Row],[Entrepot]]</f>
        <v>E1</v>
      </c>
      <c r="K366" s="9" t="b">
        <f>IF(Matiere_premiere[[#This Row],[INVENTAIRE]]&gt;0,TRUE,FALSE)</f>
        <v>0</v>
      </c>
      <c r="L366" s="65"/>
      <c r="M366" s="13" t="s">
        <v>103</v>
      </c>
      <c r="N366" s="13" t="s">
        <v>194</v>
      </c>
      <c r="O366" s="13" t="s">
        <v>191</v>
      </c>
      <c r="P366" s="13" t="s">
        <v>193</v>
      </c>
      <c r="Q366" s="55">
        <v>61535</v>
      </c>
      <c r="R366" s="13" t="s">
        <v>75</v>
      </c>
      <c r="S366" s="14">
        <v>0</v>
      </c>
      <c r="T366" s="14"/>
      <c r="U366" s="14"/>
      <c r="V366" s="14">
        <f>SUM(Matiere_premiere[[#This Row],[INVENTAIRE]],-Matiere_premiere[[#This Row],[Entrée]],-Matiere_premiere[[#This Row],[Sortis]])</f>
        <v>0</v>
      </c>
      <c r="W366" s="50" t="str">
        <f>CONCATENATE(Matiere_premiere[[#This Row],[CODE COLEUR]],"_",Matiere_premiere[[#This Row],[COULEUR]],"_",Matiere_premiere[[#This Row],[CODE FAB]],"_",Matiere_premiere[[#This Row],[Num de Lot]])</f>
        <v>C18_VERT D'EAU _NM15-18.00_61535</v>
      </c>
    </row>
    <row r="367" spans="1:23" ht="19.7" customHeight="1" thickBot="1" x14ac:dyDescent="0.3">
      <c r="A367" s="68"/>
      <c r="B367" s="71"/>
      <c r="C367" s="71"/>
      <c r="D367" s="74"/>
      <c r="E367" s="76"/>
      <c r="F367" s="78"/>
      <c r="G367" s="74"/>
      <c r="H367" s="76"/>
      <c r="I367" s="80"/>
      <c r="J367" s="11" t="str">
        <f>Matiere_premiere[[#This Row],[Entrepot]]</f>
        <v>E2</v>
      </c>
      <c r="K367" s="9" t="b">
        <f>IF(Matiere_premiere[[#This Row],[INVENTAIRE]]&gt;0,TRUE,FALSE)</f>
        <v>0</v>
      </c>
      <c r="L367" s="65"/>
      <c r="M367" s="13" t="s">
        <v>103</v>
      </c>
      <c r="N367" s="13" t="s">
        <v>194</v>
      </c>
      <c r="O367" s="13" t="s">
        <v>191</v>
      </c>
      <c r="P367" s="13" t="s">
        <v>193</v>
      </c>
      <c r="Q367" s="55">
        <v>61535</v>
      </c>
      <c r="R367" s="13" t="s">
        <v>74</v>
      </c>
      <c r="S367" s="14">
        <v>0</v>
      </c>
      <c r="T367" s="14"/>
      <c r="U367" s="14"/>
      <c r="V367" s="14">
        <f>SUM(Matiere_premiere[[#This Row],[INVENTAIRE]],-Matiere_premiere[[#This Row],[Entrée]],-Matiere_premiere[[#This Row],[Sortis]])</f>
        <v>0</v>
      </c>
      <c r="W367" s="50" t="str">
        <f>CONCATENATE(Matiere_premiere[[#This Row],[CODE COLEUR]],"_",Matiere_premiere[[#This Row],[COULEUR]],"_",Matiere_premiere[[#This Row],[CODE FAB]],"_",Matiere_premiere[[#This Row],[Num de Lot]])</f>
        <v>C18_VERT D'EAU _NM15-18.00_61535</v>
      </c>
    </row>
    <row r="368" spans="1:23" ht="19.7" customHeight="1" thickBot="1" x14ac:dyDescent="0.3">
      <c r="A368" s="68"/>
      <c r="B368" s="71"/>
      <c r="C368" s="71"/>
      <c r="D368" s="74"/>
      <c r="E368" s="76"/>
      <c r="F368" s="78"/>
      <c r="G368" s="74"/>
      <c r="H368" s="76"/>
      <c r="I368" s="80"/>
      <c r="J368" s="11" t="str">
        <f>Matiere_premiere[[#This Row],[Entrepot]]</f>
        <v>E3</v>
      </c>
      <c r="K368" s="9" t="b">
        <f>IF(Matiere_premiere[[#This Row],[INVENTAIRE]]&gt;0,TRUE,FALSE)</f>
        <v>0</v>
      </c>
      <c r="L368" s="65"/>
      <c r="M368" s="13" t="s">
        <v>103</v>
      </c>
      <c r="N368" s="13" t="s">
        <v>194</v>
      </c>
      <c r="O368" s="13" t="s">
        <v>191</v>
      </c>
      <c r="P368" s="13" t="s">
        <v>193</v>
      </c>
      <c r="Q368" s="55">
        <v>61535</v>
      </c>
      <c r="R368" s="13" t="s">
        <v>73</v>
      </c>
      <c r="S368" s="14">
        <v>0</v>
      </c>
      <c r="T368" s="14"/>
      <c r="U368" s="14"/>
      <c r="V368" s="14">
        <f>SUM(Matiere_premiere[[#This Row],[INVENTAIRE]],-Matiere_premiere[[#This Row],[Entrée]],-Matiere_premiere[[#This Row],[Sortis]])</f>
        <v>0</v>
      </c>
      <c r="W368" s="50" t="str">
        <f>CONCATENATE(Matiere_premiere[[#This Row],[CODE COLEUR]],"_",Matiere_premiere[[#This Row],[COULEUR]],"_",Matiere_premiere[[#This Row],[CODE FAB]],"_",Matiere_premiere[[#This Row],[Num de Lot]])</f>
        <v>C18_VERT D'EAU _NM15-18.00_61535</v>
      </c>
    </row>
    <row r="369" spans="1:23" ht="19.7" customHeight="1" thickBot="1" x14ac:dyDescent="0.3">
      <c r="A369" s="69"/>
      <c r="B369" s="72"/>
      <c r="C369" s="72"/>
      <c r="D369" s="75"/>
      <c r="E369" s="77"/>
      <c r="F369" s="79"/>
      <c r="G369" s="75"/>
      <c r="H369" s="77"/>
      <c r="I369" s="81"/>
      <c r="J369" s="10" t="str">
        <f>Matiere_premiere[[#This Row],[Entrepot]]</f>
        <v>Usine</v>
      </c>
      <c r="K369" s="9" t="b">
        <f>IF(Matiere_premiere[[#This Row],[INVENTAIRE]]&gt;0,TRUE,FALSE)</f>
        <v>1</v>
      </c>
      <c r="L369" s="66"/>
      <c r="M369" s="13" t="s">
        <v>103</v>
      </c>
      <c r="N369" s="13" t="s">
        <v>194</v>
      </c>
      <c r="O369" s="13" t="s">
        <v>191</v>
      </c>
      <c r="P369" s="13" t="s">
        <v>193</v>
      </c>
      <c r="Q369" s="55">
        <v>61535</v>
      </c>
      <c r="R369" s="13" t="s">
        <v>68</v>
      </c>
      <c r="S369" s="14">
        <v>181</v>
      </c>
      <c r="T369" s="14"/>
      <c r="U369" s="14"/>
      <c r="V369" s="14">
        <f>SUM(Matiere_premiere[[#This Row],[INVENTAIRE]],-Matiere_premiere[[#This Row],[Entrée]],-Matiere_premiere[[#This Row],[Sortis]])</f>
        <v>181</v>
      </c>
      <c r="W369" s="50" t="str">
        <f>CONCATENATE(Matiere_premiere[[#This Row],[CODE COLEUR]],"_",Matiere_premiere[[#This Row],[COULEUR]],"_",Matiere_premiere[[#This Row],[CODE FAB]],"_",Matiere_premiere[[#This Row],[Num de Lot]])</f>
        <v>C18_VERT D'EAU _NM15-18.00_61535</v>
      </c>
    </row>
    <row r="370" spans="1:23" ht="19.7" customHeight="1" thickTop="1" thickBot="1" x14ac:dyDescent="0.3">
      <c r="A370" s="67" t="str">
        <f>Matiere_premiere[[#This Row],[NUMERO METRIQUE]]</f>
        <v>NM15</v>
      </c>
      <c r="B370" s="70" t="str">
        <f>Matiere_premiere[[#This Row],[COULEUR]]</f>
        <v>VERT D'EAU CLAIR</v>
      </c>
      <c r="C370" s="70" t="str">
        <f>Matiere_premiere[[#This Row],[CODE COLEUR]]</f>
        <v>C18</v>
      </c>
      <c r="D370" s="73" t="str">
        <f>Matiere_premiere[[#This Row],[CODE FAB]]</f>
        <v>NM15-18.01</v>
      </c>
      <c r="E370" s="76" t="e" vm="135">
        <f>_xlfn.IMAGE("https://api.qrserver.com/v1/create-qr-code/?size=100x100&amp;data=" &amp; D370)</f>
        <v>#VALUE!</v>
      </c>
      <c r="F370" s="78"/>
      <c r="G370" s="73">
        <f>Matiere_premiere[[#This Row],[Num de Lot]]</f>
        <v>65326</v>
      </c>
      <c r="H370" s="76" t="e" vm="136">
        <f>_xlfn.IMAGE("https://api.qrserver.com/v1/create-qr-code/?size=100x100&amp;data=" &amp; G370)</f>
        <v>#VALUE!</v>
      </c>
      <c r="I370" s="80"/>
      <c r="J370" s="12" t="str">
        <f>Matiere_premiere[[#This Row],[Entrepot]]</f>
        <v>E1</v>
      </c>
      <c r="K370" s="9" t="b">
        <f>IF(Matiere_premiere[[#This Row],[INVENTAIRE]]&gt;0,TRUE,FALSE)</f>
        <v>0</v>
      </c>
      <c r="L370" s="65"/>
      <c r="M370" s="15" t="s">
        <v>103</v>
      </c>
      <c r="N370" s="15" t="s">
        <v>192</v>
      </c>
      <c r="O370" s="15" t="s">
        <v>191</v>
      </c>
      <c r="P370" s="15" t="s">
        <v>190</v>
      </c>
      <c r="Q370" s="56">
        <v>65326</v>
      </c>
      <c r="R370" s="8" t="s">
        <v>75</v>
      </c>
      <c r="S370" s="7">
        <v>0</v>
      </c>
      <c r="T370" s="7"/>
      <c r="U370" s="7"/>
      <c r="V370" s="7">
        <f>SUM(Matiere_premiere[[#This Row],[INVENTAIRE]],-Matiere_premiere[[#This Row],[Entrée]],-Matiere_premiere[[#This Row],[Sortis]])</f>
        <v>0</v>
      </c>
      <c r="W370" s="50" t="str">
        <f>CONCATENATE(Matiere_premiere[[#This Row],[CODE COLEUR]],"_",Matiere_premiere[[#This Row],[COULEUR]],"_",Matiere_premiere[[#This Row],[CODE FAB]],"_",Matiere_premiere[[#This Row],[Num de Lot]])</f>
        <v>C18_VERT D'EAU CLAIR_NM15-18.01_65326</v>
      </c>
    </row>
    <row r="371" spans="1:23" ht="19.7" customHeight="1" thickBot="1" x14ac:dyDescent="0.3">
      <c r="A371" s="68"/>
      <c r="B371" s="71"/>
      <c r="C371" s="71"/>
      <c r="D371" s="74"/>
      <c r="E371" s="76"/>
      <c r="F371" s="78"/>
      <c r="G371" s="74"/>
      <c r="H371" s="76"/>
      <c r="I371" s="80"/>
      <c r="J371" s="11" t="str">
        <f>Matiere_premiere[[#This Row],[Entrepot]]</f>
        <v>E2</v>
      </c>
      <c r="K371" s="9" t="b">
        <f>IF(Matiere_premiere[[#This Row],[INVENTAIRE]]&gt;0,TRUE,FALSE)</f>
        <v>0</v>
      </c>
      <c r="L371" s="65"/>
      <c r="M371" s="15" t="s">
        <v>103</v>
      </c>
      <c r="N371" s="15" t="s">
        <v>192</v>
      </c>
      <c r="O371" s="15" t="s">
        <v>191</v>
      </c>
      <c r="P371" s="15" t="s">
        <v>190</v>
      </c>
      <c r="Q371" s="56">
        <v>65326</v>
      </c>
      <c r="R371" s="8" t="s">
        <v>74</v>
      </c>
      <c r="S371" s="7">
        <v>0</v>
      </c>
      <c r="T371" s="7"/>
      <c r="U371" s="7"/>
      <c r="V371" s="7">
        <f>SUM(Matiere_premiere[[#This Row],[INVENTAIRE]],-Matiere_premiere[[#This Row],[Entrée]],-Matiere_premiere[[#This Row],[Sortis]])</f>
        <v>0</v>
      </c>
      <c r="W371" s="50" t="str">
        <f>CONCATENATE(Matiere_premiere[[#This Row],[CODE COLEUR]],"_",Matiere_premiere[[#This Row],[COULEUR]],"_",Matiere_premiere[[#This Row],[CODE FAB]],"_",Matiere_premiere[[#This Row],[Num de Lot]])</f>
        <v>C18_VERT D'EAU CLAIR_NM15-18.01_65326</v>
      </c>
    </row>
    <row r="372" spans="1:23" ht="19.7" customHeight="1" thickBot="1" x14ac:dyDescent="0.3">
      <c r="A372" s="68"/>
      <c r="B372" s="71"/>
      <c r="C372" s="71"/>
      <c r="D372" s="74"/>
      <c r="E372" s="76"/>
      <c r="F372" s="78"/>
      <c r="G372" s="74"/>
      <c r="H372" s="76"/>
      <c r="I372" s="80"/>
      <c r="J372" s="11" t="str">
        <f>Matiere_premiere[[#This Row],[Entrepot]]</f>
        <v>E3</v>
      </c>
      <c r="K372" s="9" t="b">
        <f>IF(Matiere_premiere[[#This Row],[INVENTAIRE]]&gt;0,TRUE,FALSE)</f>
        <v>0</v>
      </c>
      <c r="L372" s="65"/>
      <c r="M372" s="15" t="s">
        <v>103</v>
      </c>
      <c r="N372" s="15" t="s">
        <v>192</v>
      </c>
      <c r="O372" s="15" t="s">
        <v>191</v>
      </c>
      <c r="P372" s="15" t="s">
        <v>190</v>
      </c>
      <c r="Q372" s="56">
        <v>65326</v>
      </c>
      <c r="R372" s="8" t="s">
        <v>73</v>
      </c>
      <c r="S372" s="7">
        <v>0</v>
      </c>
      <c r="T372" s="7"/>
      <c r="U372" s="7"/>
      <c r="V372" s="7">
        <f>SUM(Matiere_premiere[[#This Row],[INVENTAIRE]],-Matiere_premiere[[#This Row],[Entrée]],-Matiere_premiere[[#This Row],[Sortis]])</f>
        <v>0</v>
      </c>
      <c r="W372" s="50" t="str">
        <f>CONCATENATE(Matiere_premiere[[#This Row],[CODE COLEUR]],"_",Matiere_premiere[[#This Row],[COULEUR]],"_",Matiere_premiere[[#This Row],[CODE FAB]],"_",Matiere_premiere[[#This Row],[Num de Lot]])</f>
        <v>C18_VERT D'EAU CLAIR_NM15-18.01_65326</v>
      </c>
    </row>
    <row r="373" spans="1:23" ht="19.7" customHeight="1" thickBot="1" x14ac:dyDescent="0.3">
      <c r="A373" s="69"/>
      <c r="B373" s="72"/>
      <c r="C373" s="72"/>
      <c r="D373" s="75"/>
      <c r="E373" s="77"/>
      <c r="F373" s="79"/>
      <c r="G373" s="75"/>
      <c r="H373" s="77"/>
      <c r="I373" s="81"/>
      <c r="J373" s="10" t="str">
        <f>Matiere_premiere[[#This Row],[Entrepot]]</f>
        <v>Usine</v>
      </c>
      <c r="K373" s="9" t="b">
        <f>IF(Matiere_premiere[[#This Row],[INVENTAIRE]]&gt;0,TRUE,FALSE)</f>
        <v>0</v>
      </c>
      <c r="L373" s="66"/>
      <c r="M373" s="8" t="s">
        <v>103</v>
      </c>
      <c r="N373" s="8" t="s">
        <v>192</v>
      </c>
      <c r="O373" s="8" t="s">
        <v>191</v>
      </c>
      <c r="P373" s="8" t="s">
        <v>190</v>
      </c>
      <c r="Q373" s="53">
        <v>65326</v>
      </c>
      <c r="R373" s="8" t="s">
        <v>68</v>
      </c>
      <c r="S373" s="7">
        <v>0</v>
      </c>
      <c r="T373" s="7"/>
      <c r="U373" s="7"/>
      <c r="V373" s="7">
        <f>SUM(Matiere_premiere[[#This Row],[INVENTAIRE]],-Matiere_premiere[[#This Row],[Entrée]],-Matiere_premiere[[#This Row],[Sortis]])</f>
        <v>0</v>
      </c>
      <c r="W373" s="50" t="str">
        <f>CONCATENATE(Matiere_premiere[[#This Row],[CODE COLEUR]],"_",Matiere_premiere[[#This Row],[COULEUR]],"_",Matiere_premiere[[#This Row],[CODE FAB]],"_",Matiere_premiere[[#This Row],[Num de Lot]])</f>
        <v>C18_VERT D'EAU CLAIR_NM15-18.01_65326</v>
      </c>
    </row>
    <row r="374" spans="1:23" ht="19.7" customHeight="1" thickTop="1" thickBot="1" x14ac:dyDescent="0.3">
      <c r="A374" s="67" t="str">
        <f>Matiere_premiere[[#This Row],[NUMERO METRIQUE]]</f>
        <v>NM15</v>
      </c>
      <c r="B374" s="70" t="str">
        <f>Matiere_premiere[[#This Row],[COULEUR]]</f>
        <v>KAKI CLAIRE</v>
      </c>
      <c r="C374" s="70" t="str">
        <f>Matiere_premiere[[#This Row],[CODE COLEUR]]</f>
        <v>C19</v>
      </c>
      <c r="D374" s="73" t="str">
        <f>Matiere_premiere[[#This Row],[CODE FAB]]</f>
        <v>NM15.19.02</v>
      </c>
      <c r="E374" s="76" t="e" vm="137">
        <f>_xlfn.IMAGE("https://api.qrserver.com/v1/create-qr-code/?size=100x100&amp;data=" &amp; D374)</f>
        <v>#VALUE!</v>
      </c>
      <c r="F374" s="78"/>
      <c r="G374" s="73" t="str">
        <f>Matiere_premiere[[#This Row],[Num de Lot]]</f>
        <v>S2022</v>
      </c>
      <c r="H374" s="76" t="e" vm="82">
        <f>_xlfn.IMAGE("https://api.qrserver.com/v1/create-qr-code/?size=100x100&amp;data=" &amp; G374)</f>
        <v>#VALUE!</v>
      </c>
      <c r="I374" s="80"/>
      <c r="J374" s="12" t="str">
        <f>Matiere_premiere[[#This Row],[Entrepot]]</f>
        <v>E1</v>
      </c>
      <c r="K374" s="9" t="b">
        <f>IF(Matiere_premiere[[#This Row],[INVENTAIRE]]&gt;0,TRUE,FALSE)</f>
        <v>1</v>
      </c>
      <c r="L374" s="65"/>
      <c r="M374" s="13" t="s">
        <v>103</v>
      </c>
      <c r="N374" s="13" t="s">
        <v>189</v>
      </c>
      <c r="O374" s="13" t="s">
        <v>184</v>
      </c>
      <c r="P374" s="13" t="s">
        <v>188</v>
      </c>
      <c r="Q374" s="55" t="s">
        <v>107</v>
      </c>
      <c r="R374" s="13" t="s">
        <v>75</v>
      </c>
      <c r="S374" s="14">
        <v>10.5</v>
      </c>
      <c r="T374" s="14"/>
      <c r="U374" s="14"/>
      <c r="V374" s="14">
        <f>SUM(Matiere_premiere[[#This Row],[INVENTAIRE]],-Matiere_premiere[[#This Row],[Entrée]],-Matiere_premiere[[#This Row],[Sortis]])</f>
        <v>10.5</v>
      </c>
      <c r="W374" s="50" t="str">
        <f>CONCATENATE(Matiere_premiere[[#This Row],[CODE COLEUR]],"_",Matiere_premiere[[#This Row],[COULEUR]],"_",Matiere_premiere[[#This Row],[CODE FAB]],"_",Matiere_premiere[[#This Row],[Num de Lot]])</f>
        <v>C19_KAKI CLAIRE_NM15.19.02_S2022</v>
      </c>
    </row>
    <row r="375" spans="1:23" ht="19.7" customHeight="1" thickBot="1" x14ac:dyDescent="0.3">
      <c r="A375" s="68"/>
      <c r="B375" s="71"/>
      <c r="C375" s="71"/>
      <c r="D375" s="74"/>
      <c r="E375" s="76"/>
      <c r="F375" s="78"/>
      <c r="G375" s="74"/>
      <c r="H375" s="76"/>
      <c r="I375" s="80"/>
      <c r="J375" s="11" t="str">
        <f>Matiere_premiere[[#This Row],[Entrepot]]</f>
        <v>E2</v>
      </c>
      <c r="K375" s="9" t="b">
        <f>IF(Matiere_premiere[[#This Row],[INVENTAIRE]]&gt;0,TRUE,FALSE)</f>
        <v>0</v>
      </c>
      <c r="L375" s="65"/>
      <c r="M375" s="13" t="s">
        <v>103</v>
      </c>
      <c r="N375" s="13" t="s">
        <v>189</v>
      </c>
      <c r="O375" s="13" t="s">
        <v>184</v>
      </c>
      <c r="P375" s="13" t="s">
        <v>188</v>
      </c>
      <c r="Q375" s="55" t="s">
        <v>107</v>
      </c>
      <c r="R375" s="13" t="s">
        <v>74</v>
      </c>
      <c r="S375" s="14">
        <v>0</v>
      </c>
      <c r="T375" s="14"/>
      <c r="U375" s="14"/>
      <c r="V375" s="14">
        <f>SUM(Matiere_premiere[[#This Row],[INVENTAIRE]],-Matiere_premiere[[#This Row],[Entrée]],-Matiere_premiere[[#This Row],[Sortis]])</f>
        <v>0</v>
      </c>
      <c r="W375" s="50" t="str">
        <f>CONCATENATE(Matiere_premiere[[#This Row],[CODE COLEUR]],"_",Matiere_premiere[[#This Row],[COULEUR]],"_",Matiere_premiere[[#This Row],[CODE FAB]],"_",Matiere_premiere[[#This Row],[Num de Lot]])</f>
        <v>C19_KAKI CLAIRE_NM15.19.02_S2022</v>
      </c>
    </row>
    <row r="376" spans="1:23" ht="19.7" customHeight="1" thickBot="1" x14ac:dyDescent="0.3">
      <c r="A376" s="68"/>
      <c r="B376" s="71"/>
      <c r="C376" s="71"/>
      <c r="D376" s="74"/>
      <c r="E376" s="76"/>
      <c r="F376" s="78"/>
      <c r="G376" s="74"/>
      <c r="H376" s="76"/>
      <c r="I376" s="80"/>
      <c r="J376" s="11" t="str">
        <f>Matiere_premiere[[#This Row],[Entrepot]]</f>
        <v>E3</v>
      </c>
      <c r="K376" s="9" t="b">
        <f>IF(Matiere_premiere[[#This Row],[INVENTAIRE]]&gt;0,TRUE,FALSE)</f>
        <v>1</v>
      </c>
      <c r="L376" s="65"/>
      <c r="M376" s="13" t="s">
        <v>103</v>
      </c>
      <c r="N376" s="13" t="s">
        <v>189</v>
      </c>
      <c r="O376" s="13" t="s">
        <v>184</v>
      </c>
      <c r="P376" s="13" t="s">
        <v>188</v>
      </c>
      <c r="Q376" s="55" t="s">
        <v>107</v>
      </c>
      <c r="R376" s="13" t="s">
        <v>73</v>
      </c>
      <c r="S376" s="14">
        <v>854</v>
      </c>
      <c r="T376" s="14"/>
      <c r="U376" s="14"/>
      <c r="V376" s="14">
        <f>SUM(Matiere_premiere[[#This Row],[INVENTAIRE]],-Matiere_premiere[[#This Row],[Entrée]],-Matiere_premiere[[#This Row],[Sortis]])</f>
        <v>854</v>
      </c>
      <c r="W376" s="50" t="str">
        <f>CONCATENATE(Matiere_premiere[[#This Row],[CODE COLEUR]],"_",Matiere_premiere[[#This Row],[COULEUR]],"_",Matiere_premiere[[#This Row],[CODE FAB]],"_",Matiere_premiere[[#This Row],[Num de Lot]])</f>
        <v>C19_KAKI CLAIRE_NM15.19.02_S2022</v>
      </c>
    </row>
    <row r="377" spans="1:23" ht="19.7" customHeight="1" thickBot="1" x14ac:dyDescent="0.3">
      <c r="A377" s="69"/>
      <c r="B377" s="72"/>
      <c r="C377" s="72"/>
      <c r="D377" s="75"/>
      <c r="E377" s="77"/>
      <c r="F377" s="79"/>
      <c r="G377" s="75"/>
      <c r="H377" s="77"/>
      <c r="I377" s="81"/>
      <c r="J377" s="10" t="str">
        <f>Matiere_premiere[[#This Row],[Entrepot]]</f>
        <v>Usine</v>
      </c>
      <c r="K377" s="9" t="b">
        <f>IF(Matiere_premiere[[#This Row],[INVENTAIRE]]&gt;0,TRUE,FALSE)</f>
        <v>0</v>
      </c>
      <c r="L377" s="66"/>
      <c r="M377" s="13" t="s">
        <v>103</v>
      </c>
      <c r="N377" s="13" t="s">
        <v>189</v>
      </c>
      <c r="O377" s="13" t="s">
        <v>184</v>
      </c>
      <c r="P377" s="13" t="s">
        <v>188</v>
      </c>
      <c r="Q377" s="55" t="s">
        <v>107</v>
      </c>
      <c r="R377" s="13" t="s">
        <v>68</v>
      </c>
      <c r="S377" s="14">
        <v>0</v>
      </c>
      <c r="T377" s="14"/>
      <c r="U377" s="14"/>
      <c r="V377" s="14">
        <f>SUM(Matiere_premiere[[#This Row],[INVENTAIRE]],-Matiere_premiere[[#This Row],[Entrée]],-Matiere_premiere[[#This Row],[Sortis]])</f>
        <v>0</v>
      </c>
      <c r="W377" s="50" t="str">
        <f>CONCATENATE(Matiere_premiere[[#This Row],[CODE COLEUR]],"_",Matiere_premiere[[#This Row],[COULEUR]],"_",Matiere_premiere[[#This Row],[CODE FAB]],"_",Matiere_premiere[[#This Row],[Num de Lot]])</f>
        <v>C19_KAKI CLAIRE_NM15.19.02_S2022</v>
      </c>
    </row>
    <row r="378" spans="1:23" ht="19.7" customHeight="1" thickTop="1" thickBot="1" x14ac:dyDescent="0.3">
      <c r="A378" s="67" t="str">
        <f>Matiere_premiere[[#This Row],[NUMERO METRIQUE]]</f>
        <v>NM15</v>
      </c>
      <c r="B378" s="70" t="str">
        <f>Matiere_premiere[[#This Row],[COULEUR]]</f>
        <v>CEDRE</v>
      </c>
      <c r="C378" s="70" t="str">
        <f>Matiere_premiere[[#This Row],[CODE COLEUR]]</f>
        <v>C19</v>
      </c>
      <c r="D378" s="73" t="str">
        <f>Matiere_premiere[[#This Row],[CODE FAB]]</f>
        <v>NM15-19.00</v>
      </c>
      <c r="E378" s="76" t="e" vm="138">
        <f>_xlfn.IMAGE("https://api.qrserver.com/v1/create-qr-code/?size=100x100&amp;data=" &amp; D378)</f>
        <v>#VALUE!</v>
      </c>
      <c r="F378" s="78"/>
      <c r="G378" s="73">
        <f>Matiere_premiere[[#This Row],[Num de Lot]]</f>
        <v>61471</v>
      </c>
      <c r="H378" s="76" t="e" vm="139">
        <f>_xlfn.IMAGE("https://api.qrserver.com/v1/create-qr-code/?size=100x100&amp;data=" &amp; G378)</f>
        <v>#VALUE!</v>
      </c>
      <c r="I378" s="80"/>
      <c r="J378" s="12" t="str">
        <f>Matiere_premiere[[#This Row],[Entrepot]]</f>
        <v>E1</v>
      </c>
      <c r="K378" s="9" t="b">
        <f>IF(Matiere_premiere[[#This Row],[INVENTAIRE]]&gt;0,TRUE,FALSE)</f>
        <v>1</v>
      </c>
      <c r="L378" s="65"/>
      <c r="M378" s="8" t="s">
        <v>103</v>
      </c>
      <c r="N378" s="8" t="s">
        <v>187</v>
      </c>
      <c r="O378" s="8" t="s">
        <v>184</v>
      </c>
      <c r="P378" s="8" t="s">
        <v>186</v>
      </c>
      <c r="Q378" s="53">
        <v>61471</v>
      </c>
      <c r="R378" s="8" t="s">
        <v>75</v>
      </c>
      <c r="S378" s="7">
        <v>955.5</v>
      </c>
      <c r="T378" s="7"/>
      <c r="U378" s="7"/>
      <c r="V378" s="7">
        <f>SUM(Matiere_premiere[[#This Row],[INVENTAIRE]],-Matiere_premiere[[#This Row],[Entrée]],-Matiere_premiere[[#This Row],[Sortis]])</f>
        <v>955.5</v>
      </c>
      <c r="W378" s="50" t="str">
        <f>CONCATENATE(Matiere_premiere[[#This Row],[CODE COLEUR]],"_",Matiere_premiere[[#This Row],[COULEUR]],"_",Matiere_premiere[[#This Row],[CODE FAB]],"_",Matiere_premiere[[#This Row],[Num de Lot]])</f>
        <v>C19_CEDRE_NM15-19.00_61471</v>
      </c>
    </row>
    <row r="379" spans="1:23" ht="19.7" customHeight="1" thickBot="1" x14ac:dyDescent="0.3">
      <c r="A379" s="68"/>
      <c r="B379" s="71"/>
      <c r="C379" s="71"/>
      <c r="D379" s="74"/>
      <c r="E379" s="76"/>
      <c r="F379" s="78"/>
      <c r="G379" s="74"/>
      <c r="H379" s="76"/>
      <c r="I379" s="80"/>
      <c r="J379" s="11" t="str">
        <f>Matiere_premiere[[#This Row],[Entrepot]]</f>
        <v>E2</v>
      </c>
      <c r="K379" s="9" t="b">
        <f>IF(Matiere_premiere[[#This Row],[INVENTAIRE]]&gt;0,TRUE,FALSE)</f>
        <v>0</v>
      </c>
      <c r="L379" s="65"/>
      <c r="M379" s="8" t="s">
        <v>103</v>
      </c>
      <c r="N379" s="8" t="s">
        <v>187</v>
      </c>
      <c r="O379" s="8" t="s">
        <v>184</v>
      </c>
      <c r="P379" s="8" t="s">
        <v>186</v>
      </c>
      <c r="Q379" s="53">
        <v>61471</v>
      </c>
      <c r="R379" s="8" t="s">
        <v>74</v>
      </c>
      <c r="S379" s="7">
        <v>0</v>
      </c>
      <c r="T379" s="7"/>
      <c r="U379" s="7"/>
      <c r="V379" s="7">
        <f>SUM(Matiere_premiere[[#This Row],[INVENTAIRE]],-Matiere_premiere[[#This Row],[Entrée]],-Matiere_premiere[[#This Row],[Sortis]])</f>
        <v>0</v>
      </c>
      <c r="W379" s="50" t="str">
        <f>CONCATENATE(Matiere_premiere[[#This Row],[CODE COLEUR]],"_",Matiere_premiere[[#This Row],[COULEUR]],"_",Matiere_premiere[[#This Row],[CODE FAB]],"_",Matiere_premiere[[#This Row],[Num de Lot]])</f>
        <v>C19_CEDRE_NM15-19.00_61471</v>
      </c>
    </row>
    <row r="380" spans="1:23" ht="19.7" customHeight="1" thickBot="1" x14ac:dyDescent="0.3">
      <c r="A380" s="68"/>
      <c r="B380" s="71"/>
      <c r="C380" s="71"/>
      <c r="D380" s="74"/>
      <c r="E380" s="76"/>
      <c r="F380" s="78"/>
      <c r="G380" s="74"/>
      <c r="H380" s="76"/>
      <c r="I380" s="80"/>
      <c r="J380" s="11" t="str">
        <f>Matiere_premiere[[#This Row],[Entrepot]]</f>
        <v>E3</v>
      </c>
      <c r="K380" s="9" t="b">
        <f>IF(Matiere_premiere[[#This Row],[INVENTAIRE]]&gt;0,TRUE,FALSE)</f>
        <v>0</v>
      </c>
      <c r="L380" s="65"/>
      <c r="M380" s="8" t="s">
        <v>103</v>
      </c>
      <c r="N380" s="8" t="s">
        <v>187</v>
      </c>
      <c r="O380" s="8" t="s">
        <v>184</v>
      </c>
      <c r="P380" s="8" t="s">
        <v>186</v>
      </c>
      <c r="Q380" s="53">
        <v>61471</v>
      </c>
      <c r="R380" s="8" t="s">
        <v>73</v>
      </c>
      <c r="S380" s="7">
        <v>0</v>
      </c>
      <c r="T380" s="7"/>
      <c r="U380" s="7"/>
      <c r="V380" s="7">
        <f>SUM(Matiere_premiere[[#This Row],[INVENTAIRE]],-Matiere_premiere[[#This Row],[Entrée]],-Matiere_premiere[[#This Row],[Sortis]])</f>
        <v>0</v>
      </c>
      <c r="W380" s="50" t="str">
        <f>CONCATENATE(Matiere_premiere[[#This Row],[CODE COLEUR]],"_",Matiere_premiere[[#This Row],[COULEUR]],"_",Matiere_premiere[[#This Row],[CODE FAB]],"_",Matiere_premiere[[#This Row],[Num de Lot]])</f>
        <v>C19_CEDRE_NM15-19.00_61471</v>
      </c>
    </row>
    <row r="381" spans="1:23" ht="19.7" customHeight="1" thickBot="1" x14ac:dyDescent="0.3">
      <c r="A381" s="69"/>
      <c r="B381" s="72"/>
      <c r="C381" s="72"/>
      <c r="D381" s="75"/>
      <c r="E381" s="77"/>
      <c r="F381" s="79"/>
      <c r="G381" s="75"/>
      <c r="H381" s="77"/>
      <c r="I381" s="81"/>
      <c r="J381" s="10" t="str">
        <f>Matiere_premiere[[#This Row],[Entrepot]]</f>
        <v>Usine</v>
      </c>
      <c r="K381" s="9" t="b">
        <f>IF(Matiere_premiere[[#This Row],[INVENTAIRE]]&gt;0,TRUE,FALSE)</f>
        <v>1</v>
      </c>
      <c r="L381" s="66"/>
      <c r="M381" s="8" t="s">
        <v>103</v>
      </c>
      <c r="N381" s="8" t="s">
        <v>187</v>
      </c>
      <c r="O381" s="8" t="s">
        <v>184</v>
      </c>
      <c r="P381" s="8" t="s">
        <v>186</v>
      </c>
      <c r="Q381" s="53">
        <v>61471</v>
      </c>
      <c r="R381" s="8" t="s">
        <v>68</v>
      </c>
      <c r="S381" s="7">
        <v>53.5</v>
      </c>
      <c r="T381" s="7"/>
      <c r="U381" s="7"/>
      <c r="V381" s="7">
        <f>SUM(Matiere_premiere[[#This Row],[INVENTAIRE]],-Matiere_premiere[[#This Row],[Entrée]],-Matiere_premiere[[#This Row],[Sortis]])</f>
        <v>53.5</v>
      </c>
      <c r="W381" s="50" t="str">
        <f>CONCATENATE(Matiere_premiere[[#This Row],[CODE COLEUR]],"_",Matiere_premiere[[#This Row],[COULEUR]],"_",Matiere_premiere[[#This Row],[CODE FAB]],"_",Matiere_premiere[[#This Row],[Num de Lot]])</f>
        <v>C19_CEDRE_NM15-19.00_61471</v>
      </c>
    </row>
    <row r="382" spans="1:23" ht="19.7" customHeight="1" thickTop="1" thickBot="1" x14ac:dyDescent="0.3">
      <c r="A382" s="67" t="str">
        <f>Matiere_premiere[[#This Row],[NUMERO METRIQUE]]</f>
        <v>NM15</v>
      </c>
      <c r="B382" s="70" t="str">
        <f>Matiere_premiere[[#This Row],[COULEUR]]</f>
        <v>KAKI</v>
      </c>
      <c r="C382" s="70" t="str">
        <f>Matiere_premiere[[#This Row],[CODE COLEUR]]</f>
        <v>C19</v>
      </c>
      <c r="D382" s="73" t="str">
        <f>Matiere_premiere[[#This Row],[CODE FAB]]</f>
        <v>NM15-19.01</v>
      </c>
      <c r="E382" s="76" t="e" vm="140">
        <f>_xlfn.IMAGE("https://api.qrserver.com/v1/create-qr-code/?size=100x100&amp;data=" &amp; D382)</f>
        <v>#VALUE!</v>
      </c>
      <c r="F382" s="78"/>
      <c r="G382" s="73">
        <f>Matiere_premiere[[#This Row],[Num de Lot]]</f>
        <v>61602</v>
      </c>
      <c r="H382" s="76" t="e" vm="141">
        <f>_xlfn.IMAGE("https://api.qrserver.com/v1/create-qr-code/?size=100x100&amp;data=" &amp; G382)</f>
        <v>#VALUE!</v>
      </c>
      <c r="I382" s="80"/>
      <c r="J382" s="12" t="str">
        <f>Matiere_premiere[[#This Row],[Entrepot]]</f>
        <v>E1</v>
      </c>
      <c r="K382" s="9" t="b">
        <f>IF(Matiere_premiere[[#This Row],[INVENTAIRE]]&gt;0,TRUE,FALSE)</f>
        <v>0</v>
      </c>
      <c r="L382" s="65"/>
      <c r="M382" s="13" t="s">
        <v>103</v>
      </c>
      <c r="N382" s="13" t="s">
        <v>174</v>
      </c>
      <c r="O382" s="13" t="s">
        <v>184</v>
      </c>
      <c r="P382" s="13" t="s">
        <v>185</v>
      </c>
      <c r="Q382" s="55">
        <v>61602</v>
      </c>
      <c r="R382" s="13" t="s">
        <v>75</v>
      </c>
      <c r="S382" s="14">
        <v>0</v>
      </c>
      <c r="T382" s="14"/>
      <c r="U382" s="14"/>
      <c r="V382" s="14">
        <f>SUM(Matiere_premiere[[#This Row],[INVENTAIRE]],-Matiere_premiere[[#This Row],[Entrée]],-Matiere_premiere[[#This Row],[Sortis]])</f>
        <v>0</v>
      </c>
      <c r="W382" s="50" t="str">
        <f>CONCATENATE(Matiere_premiere[[#This Row],[CODE COLEUR]],"_",Matiere_premiere[[#This Row],[COULEUR]],"_",Matiere_premiere[[#This Row],[CODE FAB]],"_",Matiere_premiere[[#This Row],[Num de Lot]])</f>
        <v>C19_KAKI_NM15-19.01_61602</v>
      </c>
    </row>
    <row r="383" spans="1:23" ht="19.7" customHeight="1" thickBot="1" x14ac:dyDescent="0.3">
      <c r="A383" s="68"/>
      <c r="B383" s="71"/>
      <c r="C383" s="71"/>
      <c r="D383" s="74"/>
      <c r="E383" s="76"/>
      <c r="F383" s="78"/>
      <c r="G383" s="74"/>
      <c r="H383" s="76"/>
      <c r="I383" s="80"/>
      <c r="J383" s="11" t="str">
        <f>Matiere_premiere[[#This Row],[Entrepot]]</f>
        <v>E2</v>
      </c>
      <c r="K383" s="9" t="b">
        <f>IF(Matiere_premiere[[#This Row],[INVENTAIRE]]&gt;0,TRUE,FALSE)</f>
        <v>0</v>
      </c>
      <c r="L383" s="65"/>
      <c r="M383" s="13" t="s">
        <v>103</v>
      </c>
      <c r="N383" s="13" t="s">
        <v>174</v>
      </c>
      <c r="O383" s="13" t="s">
        <v>184</v>
      </c>
      <c r="P383" s="13" t="s">
        <v>185</v>
      </c>
      <c r="Q383" s="55">
        <v>61602</v>
      </c>
      <c r="R383" s="13" t="s">
        <v>74</v>
      </c>
      <c r="S383" s="14">
        <v>0</v>
      </c>
      <c r="T383" s="14"/>
      <c r="U383" s="14"/>
      <c r="V383" s="14">
        <f>SUM(Matiere_premiere[[#This Row],[INVENTAIRE]],-Matiere_premiere[[#This Row],[Entrée]],-Matiere_premiere[[#This Row],[Sortis]])</f>
        <v>0</v>
      </c>
      <c r="W383" s="50" t="str">
        <f>CONCATENATE(Matiere_premiere[[#This Row],[CODE COLEUR]],"_",Matiere_premiere[[#This Row],[COULEUR]],"_",Matiere_premiere[[#This Row],[CODE FAB]],"_",Matiere_premiere[[#This Row],[Num de Lot]])</f>
        <v>C19_KAKI_NM15-19.01_61602</v>
      </c>
    </row>
    <row r="384" spans="1:23" ht="19.7" customHeight="1" thickBot="1" x14ac:dyDescent="0.3">
      <c r="A384" s="68"/>
      <c r="B384" s="71"/>
      <c r="C384" s="71"/>
      <c r="D384" s="74"/>
      <c r="E384" s="76"/>
      <c r="F384" s="78"/>
      <c r="G384" s="74"/>
      <c r="H384" s="76"/>
      <c r="I384" s="80"/>
      <c r="J384" s="11" t="str">
        <f>Matiere_premiere[[#This Row],[Entrepot]]</f>
        <v>E3</v>
      </c>
      <c r="K384" s="9" t="b">
        <f>IF(Matiere_premiere[[#This Row],[INVENTAIRE]]&gt;0,TRUE,FALSE)</f>
        <v>0</v>
      </c>
      <c r="L384" s="65"/>
      <c r="M384" s="13" t="s">
        <v>103</v>
      </c>
      <c r="N384" s="13" t="s">
        <v>174</v>
      </c>
      <c r="O384" s="13" t="s">
        <v>184</v>
      </c>
      <c r="P384" s="13" t="s">
        <v>185</v>
      </c>
      <c r="Q384" s="55">
        <v>61602</v>
      </c>
      <c r="R384" s="13" t="s">
        <v>73</v>
      </c>
      <c r="S384" s="14">
        <v>0</v>
      </c>
      <c r="T384" s="14"/>
      <c r="U384" s="14"/>
      <c r="V384" s="14">
        <f>SUM(Matiere_premiere[[#This Row],[INVENTAIRE]],-Matiere_premiere[[#This Row],[Entrée]],-Matiere_premiere[[#This Row],[Sortis]])</f>
        <v>0</v>
      </c>
      <c r="W384" s="50" t="str">
        <f>CONCATENATE(Matiere_premiere[[#This Row],[CODE COLEUR]],"_",Matiere_premiere[[#This Row],[COULEUR]],"_",Matiere_premiere[[#This Row],[CODE FAB]],"_",Matiere_premiere[[#This Row],[Num de Lot]])</f>
        <v>C19_KAKI_NM15-19.01_61602</v>
      </c>
    </row>
    <row r="385" spans="1:23" ht="19.7" customHeight="1" thickBot="1" x14ac:dyDescent="0.3">
      <c r="A385" s="69"/>
      <c r="B385" s="72"/>
      <c r="C385" s="72"/>
      <c r="D385" s="75"/>
      <c r="E385" s="77"/>
      <c r="F385" s="79"/>
      <c r="G385" s="75"/>
      <c r="H385" s="77"/>
      <c r="I385" s="81"/>
      <c r="J385" s="10" t="str">
        <f>Matiere_premiere[[#This Row],[Entrepot]]</f>
        <v>Usine</v>
      </c>
      <c r="K385" s="9" t="b">
        <f>IF(Matiere_premiere[[#This Row],[INVENTAIRE]]&gt;0,TRUE,FALSE)</f>
        <v>1</v>
      </c>
      <c r="L385" s="66"/>
      <c r="M385" s="13" t="s">
        <v>103</v>
      </c>
      <c r="N385" s="13" t="s">
        <v>174</v>
      </c>
      <c r="O385" s="13" t="s">
        <v>184</v>
      </c>
      <c r="P385" s="13" t="s">
        <v>185</v>
      </c>
      <c r="Q385" s="55">
        <v>61602</v>
      </c>
      <c r="R385" s="13" t="s">
        <v>68</v>
      </c>
      <c r="S385" s="14">
        <v>157</v>
      </c>
      <c r="T385" s="14"/>
      <c r="U385" s="14"/>
      <c r="V385" s="14">
        <f>SUM(Matiere_premiere[[#This Row],[INVENTAIRE]],-Matiere_premiere[[#This Row],[Entrée]],-Matiere_premiere[[#This Row],[Sortis]])</f>
        <v>157</v>
      </c>
      <c r="W385" s="50" t="str">
        <f>CONCATENATE(Matiere_premiere[[#This Row],[CODE COLEUR]],"_",Matiere_premiere[[#This Row],[COULEUR]],"_",Matiere_premiere[[#This Row],[CODE FAB]],"_",Matiere_premiere[[#This Row],[Num de Lot]])</f>
        <v>C19_KAKI_NM15-19.01_61602</v>
      </c>
    </row>
    <row r="386" spans="1:23" ht="19.7" customHeight="1" thickTop="1" thickBot="1" x14ac:dyDescent="0.3">
      <c r="A386" s="67" t="str">
        <f>Matiere_premiere[[#This Row],[NUMERO METRIQUE]]</f>
        <v>NM15</v>
      </c>
      <c r="B386" s="70" t="str">
        <f>Matiere_premiere[[#This Row],[COULEUR]]</f>
        <v>KAKI</v>
      </c>
      <c r="C386" s="70" t="str">
        <f>Matiere_premiere[[#This Row],[CODE COLEUR]]</f>
        <v>C19</v>
      </c>
      <c r="D386" s="73" t="str">
        <f>Matiere_premiere[[#This Row],[CODE FAB]]</f>
        <v>NM15-19.01</v>
      </c>
      <c r="E386" s="76" t="e" vm="140">
        <f>_xlfn.IMAGE("https://api.qrserver.com/v1/create-qr-code/?size=100x100&amp;data=" &amp; D386)</f>
        <v>#VALUE!</v>
      </c>
      <c r="F386" s="78"/>
      <c r="G386" s="73">
        <f>Matiere_premiere[[#This Row],[Num de Lot]]</f>
        <v>65325</v>
      </c>
      <c r="H386" s="76" t="e" vm="142">
        <f>_xlfn.IMAGE("https://api.qrserver.com/v1/create-qr-code/?size=100x100&amp;data=" &amp; G386)</f>
        <v>#VALUE!</v>
      </c>
      <c r="I386" s="80"/>
      <c r="J386" s="12" t="str">
        <f>Matiere_premiere[[#This Row],[Entrepot]]</f>
        <v>E1</v>
      </c>
      <c r="K386" s="9" t="b">
        <f>IF(Matiere_premiere[[#This Row],[INVENTAIRE]]&gt;0,TRUE,FALSE)</f>
        <v>0</v>
      </c>
      <c r="L386" s="65"/>
      <c r="M386" s="15" t="s">
        <v>103</v>
      </c>
      <c r="N386" s="15" t="s">
        <v>174</v>
      </c>
      <c r="O386" s="15" t="s">
        <v>184</v>
      </c>
      <c r="P386" s="15" t="s">
        <v>185</v>
      </c>
      <c r="Q386" s="56">
        <v>65325</v>
      </c>
      <c r="R386" s="8" t="s">
        <v>75</v>
      </c>
      <c r="S386" s="7">
        <v>0</v>
      </c>
      <c r="T386" s="7"/>
      <c r="U386" s="7"/>
      <c r="V386" s="7">
        <f>SUM(Matiere_premiere[[#This Row],[INVENTAIRE]],-Matiere_premiere[[#This Row],[Entrée]],-Matiere_premiere[[#This Row],[Sortis]])</f>
        <v>0</v>
      </c>
      <c r="W386" s="50" t="str">
        <f>CONCATENATE(Matiere_premiere[[#This Row],[CODE COLEUR]],"_",Matiere_premiere[[#This Row],[COULEUR]],"_",Matiere_premiere[[#This Row],[CODE FAB]],"_",Matiere_premiere[[#This Row],[Num de Lot]])</f>
        <v>C19_KAKI_NM15-19.01_65325</v>
      </c>
    </row>
    <row r="387" spans="1:23" ht="19.7" customHeight="1" thickBot="1" x14ac:dyDescent="0.3">
      <c r="A387" s="68"/>
      <c r="B387" s="71"/>
      <c r="C387" s="71"/>
      <c r="D387" s="74"/>
      <c r="E387" s="76"/>
      <c r="F387" s="78"/>
      <c r="G387" s="74"/>
      <c r="H387" s="76"/>
      <c r="I387" s="80"/>
      <c r="J387" s="11" t="str">
        <f>Matiere_premiere[[#This Row],[Entrepot]]</f>
        <v>E2</v>
      </c>
      <c r="K387" s="9" t="b">
        <f>IF(Matiere_premiere[[#This Row],[INVENTAIRE]]&gt;0,TRUE,FALSE)</f>
        <v>0</v>
      </c>
      <c r="L387" s="65"/>
      <c r="M387" s="15" t="s">
        <v>103</v>
      </c>
      <c r="N387" s="15" t="s">
        <v>174</v>
      </c>
      <c r="O387" s="15" t="s">
        <v>184</v>
      </c>
      <c r="P387" s="15" t="s">
        <v>185</v>
      </c>
      <c r="Q387" s="56">
        <v>65325</v>
      </c>
      <c r="R387" s="8" t="s">
        <v>74</v>
      </c>
      <c r="S387" s="7">
        <v>0</v>
      </c>
      <c r="T387" s="7"/>
      <c r="U387" s="7"/>
      <c r="V387" s="7">
        <f>SUM(Matiere_premiere[[#This Row],[INVENTAIRE]],-Matiere_premiere[[#This Row],[Entrée]],-Matiere_premiere[[#This Row],[Sortis]])</f>
        <v>0</v>
      </c>
      <c r="W387" s="50" t="str">
        <f>CONCATENATE(Matiere_premiere[[#This Row],[CODE COLEUR]],"_",Matiere_premiere[[#This Row],[COULEUR]],"_",Matiere_premiere[[#This Row],[CODE FAB]],"_",Matiere_premiere[[#This Row],[Num de Lot]])</f>
        <v>C19_KAKI_NM15-19.01_65325</v>
      </c>
    </row>
    <row r="388" spans="1:23" ht="19.7" customHeight="1" thickBot="1" x14ac:dyDescent="0.3">
      <c r="A388" s="68"/>
      <c r="B388" s="71"/>
      <c r="C388" s="71"/>
      <c r="D388" s="74"/>
      <c r="E388" s="76"/>
      <c r="F388" s="78"/>
      <c r="G388" s="74"/>
      <c r="H388" s="76"/>
      <c r="I388" s="80"/>
      <c r="J388" s="11" t="str">
        <f>Matiere_premiere[[#This Row],[Entrepot]]</f>
        <v>E3</v>
      </c>
      <c r="K388" s="9" t="b">
        <f>IF(Matiere_premiere[[#This Row],[INVENTAIRE]]&gt;0,TRUE,FALSE)</f>
        <v>0</v>
      </c>
      <c r="L388" s="65"/>
      <c r="M388" s="15" t="s">
        <v>103</v>
      </c>
      <c r="N388" s="15" t="s">
        <v>174</v>
      </c>
      <c r="O388" s="15" t="s">
        <v>184</v>
      </c>
      <c r="P388" s="15" t="s">
        <v>185</v>
      </c>
      <c r="Q388" s="56">
        <v>65325</v>
      </c>
      <c r="R388" s="8" t="s">
        <v>73</v>
      </c>
      <c r="S388" s="7">
        <v>0</v>
      </c>
      <c r="T388" s="7"/>
      <c r="U388" s="7"/>
      <c r="V388" s="7">
        <f>SUM(Matiere_premiere[[#This Row],[INVENTAIRE]],-Matiere_premiere[[#This Row],[Entrée]],-Matiere_premiere[[#This Row],[Sortis]])</f>
        <v>0</v>
      </c>
      <c r="W388" s="50" t="str">
        <f>CONCATENATE(Matiere_premiere[[#This Row],[CODE COLEUR]],"_",Matiere_premiere[[#This Row],[COULEUR]],"_",Matiere_premiere[[#This Row],[CODE FAB]],"_",Matiere_premiere[[#This Row],[Num de Lot]])</f>
        <v>C19_KAKI_NM15-19.01_65325</v>
      </c>
    </row>
    <row r="389" spans="1:23" ht="19.7" customHeight="1" thickBot="1" x14ac:dyDescent="0.3">
      <c r="A389" s="69"/>
      <c r="B389" s="72"/>
      <c r="C389" s="72"/>
      <c r="D389" s="75"/>
      <c r="E389" s="77"/>
      <c r="F389" s="79"/>
      <c r="G389" s="75"/>
      <c r="H389" s="77"/>
      <c r="I389" s="81"/>
      <c r="J389" s="10" t="str">
        <f>Matiere_premiere[[#This Row],[Entrepot]]</f>
        <v>Usine</v>
      </c>
      <c r="K389" s="9" t="b">
        <f>IF(Matiere_premiere[[#This Row],[INVENTAIRE]]&gt;0,TRUE,FALSE)</f>
        <v>0</v>
      </c>
      <c r="L389" s="66"/>
      <c r="M389" s="8" t="s">
        <v>103</v>
      </c>
      <c r="N389" s="8" t="s">
        <v>174</v>
      </c>
      <c r="O389" s="8" t="s">
        <v>184</v>
      </c>
      <c r="P389" s="8" t="s">
        <v>185</v>
      </c>
      <c r="Q389" s="53">
        <v>65325</v>
      </c>
      <c r="R389" s="8" t="s">
        <v>68</v>
      </c>
      <c r="S389" s="7">
        <v>0</v>
      </c>
      <c r="T389" s="7"/>
      <c r="U389" s="7"/>
      <c r="V389" s="7">
        <f>SUM(Matiere_premiere[[#This Row],[INVENTAIRE]],-Matiere_premiere[[#This Row],[Entrée]],-Matiere_premiere[[#This Row],[Sortis]])</f>
        <v>0</v>
      </c>
      <c r="W389" s="50" t="str">
        <f>CONCATENATE(Matiere_premiere[[#This Row],[CODE COLEUR]],"_",Matiere_premiere[[#This Row],[COULEUR]],"_",Matiere_premiere[[#This Row],[CODE FAB]],"_",Matiere_premiere[[#This Row],[Num de Lot]])</f>
        <v>C19_KAKI_NM15-19.01_65325</v>
      </c>
    </row>
    <row r="390" spans="1:23" ht="19.7" customHeight="1" thickTop="1" thickBot="1" x14ac:dyDescent="0.3">
      <c r="A390" s="67" t="str">
        <f>Matiere_premiere[[#This Row],[NUMERO METRIQUE]]</f>
        <v>NM34</v>
      </c>
      <c r="B390" s="70" t="str">
        <f>Matiere_premiere[[#This Row],[COULEUR]]</f>
        <v>KAKI</v>
      </c>
      <c r="C390" s="70" t="str">
        <f>Matiere_premiere[[#This Row],[CODE COLEUR]]</f>
        <v>C19</v>
      </c>
      <c r="D390" s="73" t="str">
        <f>Matiere_premiere[[#This Row],[CODE FAB]]</f>
        <v>NM34-19.01</v>
      </c>
      <c r="E390" s="76" t="e" vm="143">
        <f>_xlfn.IMAGE("https://api.qrserver.com/v1/create-qr-code/?size=100x100&amp;data=" &amp; D390)</f>
        <v>#VALUE!</v>
      </c>
      <c r="F390" s="78"/>
      <c r="G390" s="73" t="str">
        <f>Matiere_premiere[[#This Row],[Num de Lot]]</f>
        <v>S2024</v>
      </c>
      <c r="H390" s="76" t="e" vm="20">
        <f>_xlfn.IMAGE("https://api.qrserver.com/v1/create-qr-code/?size=100x100&amp;data=" &amp; G390)</f>
        <v>#VALUE!</v>
      </c>
      <c r="I390" s="80"/>
      <c r="J390" s="12" t="str">
        <f>Matiere_premiere[[#This Row],[Entrepot]]</f>
        <v>E1</v>
      </c>
      <c r="K390" s="9" t="b">
        <f>IF(Matiere_premiere[[#This Row],[INVENTAIRE]]&gt;0,TRUE,FALSE)</f>
        <v>0</v>
      </c>
      <c r="L390" s="65"/>
      <c r="M390" s="13" t="s">
        <v>179</v>
      </c>
      <c r="N390" s="13" t="s">
        <v>174</v>
      </c>
      <c r="O390" s="13" t="s">
        <v>184</v>
      </c>
      <c r="P390" s="13" t="s">
        <v>183</v>
      </c>
      <c r="Q390" s="55" t="s">
        <v>175</v>
      </c>
      <c r="R390" s="13" t="s">
        <v>75</v>
      </c>
      <c r="S390" s="14">
        <v>0</v>
      </c>
      <c r="T390" s="14"/>
      <c r="U390" s="14"/>
      <c r="V390" s="14">
        <f>SUM(Matiere_premiere[[#This Row],[INVENTAIRE]],-Matiere_premiere[[#This Row],[Entrée]],-Matiere_premiere[[#This Row],[Sortis]])</f>
        <v>0</v>
      </c>
      <c r="W390" s="50" t="str">
        <f>CONCATENATE(Matiere_premiere[[#This Row],[CODE COLEUR]],"_",Matiere_premiere[[#This Row],[COULEUR]],"_",Matiere_premiere[[#This Row],[CODE FAB]],"_",Matiere_premiere[[#This Row],[Num de Lot]])</f>
        <v>C19_KAKI_NM34-19.01_S2024</v>
      </c>
    </row>
    <row r="391" spans="1:23" ht="19.7" customHeight="1" thickBot="1" x14ac:dyDescent="0.3">
      <c r="A391" s="68"/>
      <c r="B391" s="71"/>
      <c r="C391" s="71"/>
      <c r="D391" s="74"/>
      <c r="E391" s="76"/>
      <c r="F391" s="78"/>
      <c r="G391" s="74"/>
      <c r="H391" s="76"/>
      <c r="I391" s="80"/>
      <c r="J391" s="11" t="str">
        <f>Matiere_premiere[[#This Row],[Entrepot]]</f>
        <v>E2</v>
      </c>
      <c r="K391" s="9" t="b">
        <f>IF(Matiere_premiere[[#This Row],[INVENTAIRE]]&gt;0,TRUE,FALSE)</f>
        <v>0</v>
      </c>
      <c r="L391" s="65"/>
      <c r="M391" s="13" t="s">
        <v>179</v>
      </c>
      <c r="N391" s="13" t="s">
        <v>174</v>
      </c>
      <c r="O391" s="13" t="s">
        <v>184</v>
      </c>
      <c r="P391" s="13" t="s">
        <v>183</v>
      </c>
      <c r="Q391" s="55" t="s">
        <v>175</v>
      </c>
      <c r="R391" s="13" t="s">
        <v>74</v>
      </c>
      <c r="S391" s="14">
        <v>0</v>
      </c>
      <c r="T391" s="14"/>
      <c r="U391" s="14"/>
      <c r="V391" s="14">
        <f>SUM(Matiere_premiere[[#This Row],[INVENTAIRE]],-Matiere_premiere[[#This Row],[Entrée]],-Matiere_premiere[[#This Row],[Sortis]])</f>
        <v>0</v>
      </c>
      <c r="W391" s="50" t="str">
        <f>CONCATENATE(Matiere_premiere[[#This Row],[CODE COLEUR]],"_",Matiere_premiere[[#This Row],[COULEUR]],"_",Matiere_premiere[[#This Row],[CODE FAB]],"_",Matiere_premiere[[#This Row],[Num de Lot]])</f>
        <v>C19_KAKI_NM34-19.01_S2024</v>
      </c>
    </row>
    <row r="392" spans="1:23" ht="19.7" customHeight="1" thickBot="1" x14ac:dyDescent="0.3">
      <c r="A392" s="68"/>
      <c r="B392" s="71"/>
      <c r="C392" s="71"/>
      <c r="D392" s="74"/>
      <c r="E392" s="76"/>
      <c r="F392" s="78"/>
      <c r="G392" s="74"/>
      <c r="H392" s="76"/>
      <c r="I392" s="80"/>
      <c r="J392" s="11" t="str">
        <f>Matiere_premiere[[#This Row],[Entrepot]]</f>
        <v>E3</v>
      </c>
      <c r="K392" s="9" t="b">
        <f>IF(Matiere_premiere[[#This Row],[INVENTAIRE]]&gt;0,TRUE,FALSE)</f>
        <v>0</v>
      </c>
      <c r="L392" s="65"/>
      <c r="M392" s="13" t="s">
        <v>179</v>
      </c>
      <c r="N392" s="13" t="s">
        <v>174</v>
      </c>
      <c r="O392" s="13" t="s">
        <v>184</v>
      </c>
      <c r="P392" s="13" t="s">
        <v>183</v>
      </c>
      <c r="Q392" s="55" t="s">
        <v>175</v>
      </c>
      <c r="R392" s="13" t="s">
        <v>73</v>
      </c>
      <c r="S392" s="14">
        <v>0</v>
      </c>
      <c r="T392" s="14"/>
      <c r="U392" s="14"/>
      <c r="V392" s="14">
        <f>SUM(Matiere_premiere[[#This Row],[INVENTAIRE]],-Matiere_premiere[[#This Row],[Entrée]],-Matiere_premiere[[#This Row],[Sortis]])</f>
        <v>0</v>
      </c>
      <c r="W392" s="50" t="str">
        <f>CONCATENATE(Matiere_premiere[[#This Row],[CODE COLEUR]],"_",Matiere_premiere[[#This Row],[COULEUR]],"_",Matiere_premiere[[#This Row],[CODE FAB]],"_",Matiere_premiere[[#This Row],[Num de Lot]])</f>
        <v>C19_KAKI_NM34-19.01_S2024</v>
      </c>
    </row>
    <row r="393" spans="1:23" ht="19.7" customHeight="1" thickBot="1" x14ac:dyDescent="0.3">
      <c r="A393" s="69"/>
      <c r="B393" s="72"/>
      <c r="C393" s="72"/>
      <c r="D393" s="75"/>
      <c r="E393" s="77"/>
      <c r="F393" s="79"/>
      <c r="G393" s="75"/>
      <c r="H393" s="77"/>
      <c r="I393" s="81"/>
      <c r="J393" s="10" t="str">
        <f>Matiere_premiere[[#This Row],[Entrepot]]</f>
        <v>Usine</v>
      </c>
      <c r="K393" s="9" t="b">
        <f>IF(Matiere_premiere[[#This Row],[INVENTAIRE]]&gt;0,TRUE,FALSE)</f>
        <v>1</v>
      </c>
      <c r="L393" s="66"/>
      <c r="M393" s="13" t="s">
        <v>179</v>
      </c>
      <c r="N393" s="13" t="s">
        <v>174</v>
      </c>
      <c r="O393" s="13" t="s">
        <v>184</v>
      </c>
      <c r="P393" s="13" t="s">
        <v>183</v>
      </c>
      <c r="Q393" s="55" t="s">
        <v>175</v>
      </c>
      <c r="R393" s="13" t="s">
        <v>68</v>
      </c>
      <c r="S393" s="14">
        <v>53</v>
      </c>
      <c r="T393" s="14"/>
      <c r="U393" s="14"/>
      <c r="V393" s="14">
        <f>SUM(Matiere_premiere[[#This Row],[INVENTAIRE]],-Matiere_premiere[[#This Row],[Entrée]],-Matiere_premiere[[#This Row],[Sortis]])</f>
        <v>53</v>
      </c>
      <c r="W393" s="50" t="str">
        <f>CONCATENATE(Matiere_premiere[[#This Row],[CODE COLEUR]],"_",Matiere_premiere[[#This Row],[COULEUR]],"_",Matiere_premiere[[#This Row],[CODE FAB]],"_",Matiere_premiere[[#This Row],[Num de Lot]])</f>
        <v>C19_KAKI_NM34-19.01_S2024</v>
      </c>
    </row>
    <row r="394" spans="1:23" ht="19.7" customHeight="1" thickTop="1" thickBot="1" x14ac:dyDescent="0.3">
      <c r="A394" s="67" t="str">
        <f>Matiere_premiere[[#This Row],[NUMERO METRIQUE]]</f>
        <v>NM05</v>
      </c>
      <c r="B394" s="70" t="str">
        <f>Matiere_premiere[[#This Row],[COULEUR]]</f>
        <v>VERT OLIVE</v>
      </c>
      <c r="C394" s="70" t="str">
        <f>Matiere_premiere[[#This Row],[CODE COLEUR]]</f>
        <v>C20</v>
      </c>
      <c r="D394" s="73" t="str">
        <f>Matiere_premiere[[#This Row],[CODE FAB]]</f>
        <v>NM05-20.02</v>
      </c>
      <c r="E394" s="76" t="e" vm="144">
        <f>_xlfn.IMAGE("https://api.qrserver.com/v1/create-qr-code/?size=100x100&amp;data=" &amp; D394)</f>
        <v>#VALUE!</v>
      </c>
      <c r="F394" s="78"/>
      <c r="G394" s="73" t="str">
        <f>Matiere_premiere[[#This Row],[Num de Lot]]</f>
        <v>S2023</v>
      </c>
      <c r="H394" s="76" t="e" vm="2">
        <f>_xlfn.IMAGE("https://api.qrserver.com/v1/create-qr-code/?size=100x100&amp;data=" &amp; G394)</f>
        <v>#VALUE!</v>
      </c>
      <c r="I394" s="80"/>
      <c r="J394" s="12" t="str">
        <f>Matiere_premiere[[#This Row],[Entrepot]]</f>
        <v>E1</v>
      </c>
      <c r="K394" s="9" t="b">
        <f>IF(Matiere_premiere[[#This Row],[INVENTAIRE]]&gt;0,TRUE,FALSE)</f>
        <v>0</v>
      </c>
      <c r="L394" s="65"/>
      <c r="M394" s="8" t="s">
        <v>119</v>
      </c>
      <c r="N394" s="8" t="s">
        <v>178</v>
      </c>
      <c r="O394" s="8" t="s">
        <v>177</v>
      </c>
      <c r="P394" s="8" t="s">
        <v>182</v>
      </c>
      <c r="Q394" s="53" t="s">
        <v>69</v>
      </c>
      <c r="R394" s="8" t="s">
        <v>75</v>
      </c>
      <c r="S394" s="7">
        <v>0</v>
      </c>
      <c r="T394" s="7"/>
      <c r="U394" s="7"/>
      <c r="V394" s="7">
        <f>SUM(Matiere_premiere[[#This Row],[INVENTAIRE]],-Matiere_premiere[[#This Row],[Entrée]],-Matiere_premiere[[#This Row],[Sortis]])</f>
        <v>0</v>
      </c>
      <c r="W394" s="50" t="str">
        <f>CONCATENATE(Matiere_premiere[[#This Row],[CODE COLEUR]],"_",Matiere_premiere[[#This Row],[COULEUR]],"_",Matiere_premiere[[#This Row],[CODE FAB]],"_",Matiere_premiere[[#This Row],[Num de Lot]])</f>
        <v>C20_VERT OLIVE_NM05-20.02_S2023</v>
      </c>
    </row>
    <row r="395" spans="1:23" ht="19.7" customHeight="1" thickBot="1" x14ac:dyDescent="0.3">
      <c r="A395" s="68"/>
      <c r="B395" s="71"/>
      <c r="C395" s="71"/>
      <c r="D395" s="74"/>
      <c r="E395" s="76"/>
      <c r="F395" s="78"/>
      <c r="G395" s="74"/>
      <c r="H395" s="76"/>
      <c r="I395" s="80"/>
      <c r="J395" s="11" t="str">
        <f>Matiere_premiere[[#This Row],[Entrepot]]</f>
        <v>E2</v>
      </c>
      <c r="K395" s="9" t="b">
        <f>IF(Matiere_premiere[[#This Row],[INVENTAIRE]]&gt;0,TRUE,FALSE)</f>
        <v>1</v>
      </c>
      <c r="L395" s="65"/>
      <c r="M395" s="8" t="s">
        <v>119</v>
      </c>
      <c r="N395" s="8" t="s">
        <v>178</v>
      </c>
      <c r="O395" s="8" t="s">
        <v>177</v>
      </c>
      <c r="P395" s="8" t="s">
        <v>182</v>
      </c>
      <c r="Q395" s="53" t="s">
        <v>69</v>
      </c>
      <c r="R395" s="8" t="s">
        <v>74</v>
      </c>
      <c r="S395" s="7">
        <v>245</v>
      </c>
      <c r="T395" s="7"/>
      <c r="U395" s="7"/>
      <c r="V395" s="7">
        <f>SUM(Matiere_premiere[[#This Row],[INVENTAIRE]],-Matiere_premiere[[#This Row],[Entrée]],-Matiere_premiere[[#This Row],[Sortis]])</f>
        <v>245</v>
      </c>
      <c r="W395" s="50" t="str">
        <f>CONCATENATE(Matiere_premiere[[#This Row],[CODE COLEUR]],"_",Matiere_premiere[[#This Row],[COULEUR]],"_",Matiere_premiere[[#This Row],[CODE FAB]],"_",Matiere_premiere[[#This Row],[Num de Lot]])</f>
        <v>C20_VERT OLIVE_NM05-20.02_S2023</v>
      </c>
    </row>
    <row r="396" spans="1:23" ht="19.7" customHeight="1" thickBot="1" x14ac:dyDescent="0.3">
      <c r="A396" s="68"/>
      <c r="B396" s="71"/>
      <c r="C396" s="71"/>
      <c r="D396" s="74"/>
      <c r="E396" s="76"/>
      <c r="F396" s="78"/>
      <c r="G396" s="74"/>
      <c r="H396" s="76"/>
      <c r="I396" s="80"/>
      <c r="J396" s="11" t="str">
        <f>Matiere_premiere[[#This Row],[Entrepot]]</f>
        <v>E3</v>
      </c>
      <c r="K396" s="9" t="b">
        <f>IF(Matiere_premiere[[#This Row],[INVENTAIRE]]&gt;0,TRUE,FALSE)</f>
        <v>0</v>
      </c>
      <c r="L396" s="65"/>
      <c r="M396" s="8" t="s">
        <v>119</v>
      </c>
      <c r="N396" s="8" t="s">
        <v>178</v>
      </c>
      <c r="O396" s="8" t="s">
        <v>177</v>
      </c>
      <c r="P396" s="8" t="s">
        <v>182</v>
      </c>
      <c r="Q396" s="53" t="s">
        <v>69</v>
      </c>
      <c r="R396" s="8" t="s">
        <v>73</v>
      </c>
      <c r="S396" s="7">
        <v>0</v>
      </c>
      <c r="T396" s="7"/>
      <c r="U396" s="7"/>
      <c r="V396" s="7">
        <f>SUM(Matiere_premiere[[#This Row],[INVENTAIRE]],-Matiere_premiere[[#This Row],[Entrée]],-Matiere_premiere[[#This Row],[Sortis]])</f>
        <v>0</v>
      </c>
      <c r="W396" s="50" t="str">
        <f>CONCATENATE(Matiere_premiere[[#This Row],[CODE COLEUR]],"_",Matiere_premiere[[#This Row],[COULEUR]],"_",Matiere_premiere[[#This Row],[CODE FAB]],"_",Matiere_premiere[[#This Row],[Num de Lot]])</f>
        <v>C20_VERT OLIVE_NM05-20.02_S2023</v>
      </c>
    </row>
    <row r="397" spans="1:23" ht="19.7" customHeight="1" thickBot="1" x14ac:dyDescent="0.3">
      <c r="A397" s="69"/>
      <c r="B397" s="72"/>
      <c r="C397" s="72"/>
      <c r="D397" s="75"/>
      <c r="E397" s="77"/>
      <c r="F397" s="79"/>
      <c r="G397" s="75"/>
      <c r="H397" s="77"/>
      <c r="I397" s="81"/>
      <c r="J397" s="10" t="str">
        <f>Matiere_premiere[[#This Row],[Entrepot]]</f>
        <v>Usine</v>
      </c>
      <c r="K397" s="9" t="b">
        <f>IF(Matiere_premiere[[#This Row],[INVENTAIRE]]&gt;0,TRUE,FALSE)</f>
        <v>0</v>
      </c>
      <c r="L397" s="66"/>
      <c r="M397" s="8" t="s">
        <v>119</v>
      </c>
      <c r="N397" s="8" t="s">
        <v>178</v>
      </c>
      <c r="O397" s="8" t="s">
        <v>177</v>
      </c>
      <c r="P397" s="8" t="s">
        <v>182</v>
      </c>
      <c r="Q397" s="53" t="s">
        <v>69</v>
      </c>
      <c r="R397" s="8" t="s">
        <v>68</v>
      </c>
      <c r="S397" s="7">
        <v>0</v>
      </c>
      <c r="T397" s="7"/>
      <c r="U397" s="7"/>
      <c r="V397" s="7">
        <f>SUM(Matiere_premiere[[#This Row],[INVENTAIRE]],-Matiere_premiere[[#This Row],[Entrée]],-Matiere_premiere[[#This Row],[Sortis]])</f>
        <v>0</v>
      </c>
      <c r="W397" s="50" t="str">
        <f>CONCATENATE(Matiere_premiere[[#This Row],[CODE COLEUR]],"_",Matiere_premiere[[#This Row],[COULEUR]],"_",Matiere_premiere[[#This Row],[CODE FAB]],"_",Matiere_premiere[[#This Row],[Num de Lot]])</f>
        <v>C20_VERT OLIVE_NM05-20.02_S2023</v>
      </c>
    </row>
    <row r="398" spans="1:23" ht="19.7" customHeight="1" thickTop="1" thickBot="1" x14ac:dyDescent="0.3">
      <c r="A398" s="67" t="str">
        <f>Matiere_premiere[[#This Row],[NUMERO METRIQUE]]</f>
        <v>NM15</v>
      </c>
      <c r="B398" s="70" t="str">
        <f>Matiere_premiere[[#This Row],[COULEUR]]</f>
        <v>VERT OLIVE</v>
      </c>
      <c r="C398" s="70" t="str">
        <f>Matiere_premiere[[#This Row],[CODE COLEUR]]</f>
        <v>C20</v>
      </c>
      <c r="D398" s="73" t="str">
        <f>Matiere_premiere[[#This Row],[CODE FAB]]</f>
        <v>NM15-20.00</v>
      </c>
      <c r="E398" s="76" t="e" vm="145">
        <f>_xlfn.IMAGE("https://api.qrserver.com/v1/create-qr-code/?size=100x100&amp;data=" &amp; D398)</f>
        <v>#VALUE!</v>
      </c>
      <c r="F398" s="78"/>
      <c r="G398" s="73">
        <f>Matiere_premiere[[#This Row],[Num de Lot]]</f>
        <v>65358</v>
      </c>
      <c r="H398" s="76" t="e" vm="146">
        <f>_xlfn.IMAGE("https://api.qrserver.com/v1/create-qr-code/?size=100x100&amp;data=" &amp; G398)</f>
        <v>#VALUE!</v>
      </c>
      <c r="I398" s="80"/>
      <c r="J398" s="12" t="str">
        <f>Matiere_premiere[[#This Row],[Entrepot]]</f>
        <v>E1</v>
      </c>
      <c r="K398" s="9" t="b">
        <f>IF(Matiere_premiere[[#This Row],[INVENTAIRE]]&gt;0,TRUE,FALSE)</f>
        <v>0</v>
      </c>
      <c r="L398" s="65"/>
      <c r="M398" s="16" t="s">
        <v>103</v>
      </c>
      <c r="N398" s="16" t="s">
        <v>178</v>
      </c>
      <c r="O398" s="16" t="s">
        <v>177</v>
      </c>
      <c r="P398" s="16" t="s">
        <v>181</v>
      </c>
      <c r="Q398" s="54">
        <v>65358</v>
      </c>
      <c r="R398" s="13" t="s">
        <v>75</v>
      </c>
      <c r="S398" s="14">
        <v>0</v>
      </c>
      <c r="T398" s="14"/>
      <c r="U398" s="14"/>
      <c r="V398" s="14">
        <f>SUM(Matiere_premiere[[#This Row],[INVENTAIRE]],-Matiere_premiere[[#This Row],[Entrée]],-Matiere_premiere[[#This Row],[Sortis]])</f>
        <v>0</v>
      </c>
      <c r="W398" s="50" t="str">
        <f>CONCATENATE(Matiere_premiere[[#This Row],[CODE COLEUR]],"_",Matiere_premiere[[#This Row],[COULEUR]],"_",Matiere_premiere[[#This Row],[CODE FAB]],"_",Matiere_premiere[[#This Row],[Num de Lot]])</f>
        <v>C20_VERT OLIVE_NM15-20.00_65358</v>
      </c>
    </row>
    <row r="399" spans="1:23" ht="19.7" customHeight="1" thickBot="1" x14ac:dyDescent="0.3">
      <c r="A399" s="68"/>
      <c r="B399" s="71"/>
      <c r="C399" s="71"/>
      <c r="D399" s="74"/>
      <c r="E399" s="76"/>
      <c r="F399" s="78"/>
      <c r="G399" s="74"/>
      <c r="H399" s="76"/>
      <c r="I399" s="80"/>
      <c r="J399" s="11" t="str">
        <f>Matiere_premiere[[#This Row],[Entrepot]]</f>
        <v>E2</v>
      </c>
      <c r="K399" s="9" t="b">
        <f>IF(Matiere_premiere[[#This Row],[INVENTAIRE]]&gt;0,TRUE,FALSE)</f>
        <v>0</v>
      </c>
      <c r="L399" s="65"/>
      <c r="M399" s="16" t="s">
        <v>103</v>
      </c>
      <c r="N399" s="16" t="s">
        <v>178</v>
      </c>
      <c r="O399" s="16" t="s">
        <v>177</v>
      </c>
      <c r="P399" s="16" t="s">
        <v>181</v>
      </c>
      <c r="Q399" s="54">
        <v>65358</v>
      </c>
      <c r="R399" s="13" t="s">
        <v>74</v>
      </c>
      <c r="S399" s="14">
        <v>0</v>
      </c>
      <c r="T399" s="14"/>
      <c r="U399" s="14"/>
      <c r="V399" s="14">
        <f>SUM(Matiere_premiere[[#This Row],[INVENTAIRE]],-Matiere_premiere[[#This Row],[Entrée]],-Matiere_premiere[[#This Row],[Sortis]])</f>
        <v>0</v>
      </c>
      <c r="W399" s="50" t="str">
        <f>CONCATENATE(Matiere_premiere[[#This Row],[CODE COLEUR]],"_",Matiere_premiere[[#This Row],[COULEUR]],"_",Matiere_premiere[[#This Row],[CODE FAB]],"_",Matiere_premiere[[#This Row],[Num de Lot]])</f>
        <v>C20_VERT OLIVE_NM15-20.00_65358</v>
      </c>
    </row>
    <row r="400" spans="1:23" ht="19.7" customHeight="1" thickBot="1" x14ac:dyDescent="0.3">
      <c r="A400" s="68"/>
      <c r="B400" s="71"/>
      <c r="C400" s="71"/>
      <c r="D400" s="74"/>
      <c r="E400" s="76"/>
      <c r="F400" s="78"/>
      <c r="G400" s="74"/>
      <c r="H400" s="76"/>
      <c r="I400" s="80"/>
      <c r="J400" s="11" t="str">
        <f>Matiere_premiere[[#This Row],[Entrepot]]</f>
        <v>E3</v>
      </c>
      <c r="K400" s="9" t="b">
        <f>IF(Matiere_premiere[[#This Row],[INVENTAIRE]]&gt;0,TRUE,FALSE)</f>
        <v>0</v>
      </c>
      <c r="L400" s="65"/>
      <c r="M400" s="16" t="s">
        <v>103</v>
      </c>
      <c r="N400" s="16" t="s">
        <v>178</v>
      </c>
      <c r="O400" s="16" t="s">
        <v>177</v>
      </c>
      <c r="P400" s="16" t="s">
        <v>181</v>
      </c>
      <c r="Q400" s="54">
        <v>65358</v>
      </c>
      <c r="R400" s="13" t="s">
        <v>73</v>
      </c>
      <c r="S400" s="14">
        <v>0</v>
      </c>
      <c r="T400" s="14"/>
      <c r="U400" s="14"/>
      <c r="V400" s="14">
        <f>SUM(Matiere_premiere[[#This Row],[INVENTAIRE]],-Matiere_premiere[[#This Row],[Entrée]],-Matiere_premiere[[#This Row],[Sortis]])</f>
        <v>0</v>
      </c>
      <c r="W400" s="50" t="str">
        <f>CONCATENATE(Matiere_premiere[[#This Row],[CODE COLEUR]],"_",Matiere_premiere[[#This Row],[COULEUR]],"_",Matiere_premiere[[#This Row],[CODE FAB]],"_",Matiere_premiere[[#This Row],[Num de Lot]])</f>
        <v>C20_VERT OLIVE_NM15-20.00_65358</v>
      </c>
    </row>
    <row r="401" spans="1:23" ht="19.7" customHeight="1" thickBot="1" x14ac:dyDescent="0.3">
      <c r="A401" s="69"/>
      <c r="B401" s="72"/>
      <c r="C401" s="72"/>
      <c r="D401" s="75"/>
      <c r="E401" s="77"/>
      <c r="F401" s="79"/>
      <c r="G401" s="75"/>
      <c r="H401" s="77"/>
      <c r="I401" s="81"/>
      <c r="J401" s="10" t="str">
        <f>Matiere_premiere[[#This Row],[Entrepot]]</f>
        <v>Usine</v>
      </c>
      <c r="K401" s="9" t="b">
        <f>IF(Matiere_premiere[[#This Row],[INVENTAIRE]]&gt;0,TRUE,FALSE)</f>
        <v>0</v>
      </c>
      <c r="L401" s="66"/>
      <c r="M401" s="13" t="s">
        <v>103</v>
      </c>
      <c r="N401" s="13" t="s">
        <v>178</v>
      </c>
      <c r="O401" s="13" t="s">
        <v>177</v>
      </c>
      <c r="P401" s="13" t="s">
        <v>181</v>
      </c>
      <c r="Q401" s="55">
        <v>65358</v>
      </c>
      <c r="R401" s="13" t="s">
        <v>68</v>
      </c>
      <c r="S401" s="14">
        <v>0</v>
      </c>
      <c r="T401" s="14"/>
      <c r="U401" s="14"/>
      <c r="V401" s="14">
        <f>SUM(Matiere_premiere[[#This Row],[INVENTAIRE]],-Matiere_premiere[[#This Row],[Entrée]],-Matiere_premiere[[#This Row],[Sortis]])</f>
        <v>0</v>
      </c>
      <c r="W401" s="50" t="str">
        <f>CONCATENATE(Matiere_premiere[[#This Row],[CODE COLEUR]],"_",Matiere_premiere[[#This Row],[COULEUR]],"_",Matiere_premiere[[#This Row],[CODE FAB]],"_",Matiere_premiere[[#This Row],[Num de Lot]])</f>
        <v>C20_VERT OLIVE_NM15-20.00_65358</v>
      </c>
    </row>
    <row r="402" spans="1:23" ht="19.7" customHeight="1" thickTop="1" thickBot="1" x14ac:dyDescent="0.3">
      <c r="A402" s="67" t="str">
        <f>Matiere_premiere[[#This Row],[NUMERO METRIQUE]]</f>
        <v>NM15</v>
      </c>
      <c r="B402" s="70" t="str">
        <f>Matiere_premiere[[#This Row],[COULEUR]]</f>
        <v>VERT OLIVE</v>
      </c>
      <c r="C402" s="70" t="str">
        <f>Matiere_premiere[[#This Row],[CODE COLEUR]]</f>
        <v>C20</v>
      </c>
      <c r="D402" s="73" t="str">
        <f>Matiere_premiere[[#This Row],[CODE FAB]]</f>
        <v>NM15-20.00</v>
      </c>
      <c r="E402" s="76" t="e" vm="145">
        <f>_xlfn.IMAGE("https://api.qrserver.com/v1/create-qr-code/?size=100x100&amp;data=" &amp; D402)</f>
        <v>#VALUE!</v>
      </c>
      <c r="F402" s="78"/>
      <c r="G402" s="73" t="str">
        <f>Matiere_premiere[[#This Row],[Num de Lot]]</f>
        <v>S2023</v>
      </c>
      <c r="H402" s="76" t="e" vm="2">
        <f>_xlfn.IMAGE("https://api.qrserver.com/v1/create-qr-code/?size=100x100&amp;data=" &amp; G402)</f>
        <v>#VALUE!</v>
      </c>
      <c r="I402" s="80"/>
      <c r="J402" s="12" t="str">
        <f>Matiere_premiere[[#This Row],[Entrepot]]</f>
        <v>E1</v>
      </c>
      <c r="K402" s="9" t="b">
        <f>IF(Matiere_premiere[[#This Row],[INVENTAIRE]]&gt;0,TRUE,FALSE)</f>
        <v>0</v>
      </c>
      <c r="L402" s="65"/>
      <c r="M402" s="8" t="s">
        <v>103</v>
      </c>
      <c r="N402" s="8" t="s">
        <v>178</v>
      </c>
      <c r="O402" s="8" t="s">
        <v>177</v>
      </c>
      <c r="P402" s="8" t="s">
        <v>181</v>
      </c>
      <c r="Q402" s="53" t="s">
        <v>69</v>
      </c>
      <c r="R402" s="8" t="s">
        <v>75</v>
      </c>
      <c r="S402" s="7">
        <v>0</v>
      </c>
      <c r="T402" s="7"/>
      <c r="U402" s="7"/>
      <c r="V402" s="7">
        <f>SUM(Matiere_premiere[[#This Row],[INVENTAIRE]],-Matiere_premiere[[#This Row],[Entrée]],-Matiere_premiere[[#This Row],[Sortis]])</f>
        <v>0</v>
      </c>
      <c r="W402" s="50" t="str">
        <f>CONCATENATE(Matiere_premiere[[#This Row],[CODE COLEUR]],"_",Matiere_premiere[[#This Row],[COULEUR]],"_",Matiere_premiere[[#This Row],[CODE FAB]],"_",Matiere_premiere[[#This Row],[Num de Lot]])</f>
        <v>C20_VERT OLIVE_NM15-20.00_S2023</v>
      </c>
    </row>
    <row r="403" spans="1:23" ht="19.7" customHeight="1" thickBot="1" x14ac:dyDescent="0.3">
      <c r="A403" s="68"/>
      <c r="B403" s="71"/>
      <c r="C403" s="71"/>
      <c r="D403" s="74"/>
      <c r="E403" s="76"/>
      <c r="F403" s="78"/>
      <c r="G403" s="74"/>
      <c r="H403" s="76"/>
      <c r="I403" s="80"/>
      <c r="J403" s="11" t="str">
        <f>Matiere_premiere[[#This Row],[Entrepot]]</f>
        <v>E2</v>
      </c>
      <c r="K403" s="9" t="b">
        <f>IF(Matiere_premiere[[#This Row],[INVENTAIRE]]&gt;0,TRUE,FALSE)</f>
        <v>0</v>
      </c>
      <c r="L403" s="65"/>
      <c r="M403" s="8" t="s">
        <v>103</v>
      </c>
      <c r="N403" s="8" t="s">
        <v>178</v>
      </c>
      <c r="O403" s="8" t="s">
        <v>177</v>
      </c>
      <c r="P403" s="8" t="s">
        <v>181</v>
      </c>
      <c r="Q403" s="53" t="s">
        <v>69</v>
      </c>
      <c r="R403" s="8" t="s">
        <v>74</v>
      </c>
      <c r="S403" s="7">
        <v>0</v>
      </c>
      <c r="T403" s="7"/>
      <c r="U403" s="7"/>
      <c r="V403" s="7">
        <f>SUM(Matiere_premiere[[#This Row],[INVENTAIRE]],-Matiere_premiere[[#This Row],[Entrée]],-Matiere_premiere[[#This Row],[Sortis]])</f>
        <v>0</v>
      </c>
      <c r="W403" s="50" t="str">
        <f>CONCATENATE(Matiere_premiere[[#This Row],[CODE COLEUR]],"_",Matiere_premiere[[#This Row],[COULEUR]],"_",Matiere_premiere[[#This Row],[CODE FAB]],"_",Matiere_premiere[[#This Row],[Num de Lot]])</f>
        <v>C20_VERT OLIVE_NM15-20.00_S2023</v>
      </c>
    </row>
    <row r="404" spans="1:23" ht="19.7" customHeight="1" thickBot="1" x14ac:dyDescent="0.3">
      <c r="A404" s="68"/>
      <c r="B404" s="71"/>
      <c r="C404" s="71"/>
      <c r="D404" s="74"/>
      <c r="E404" s="76"/>
      <c r="F404" s="78"/>
      <c r="G404" s="74"/>
      <c r="H404" s="76"/>
      <c r="I404" s="80"/>
      <c r="J404" s="11" t="str">
        <f>Matiere_premiere[[#This Row],[Entrepot]]</f>
        <v>E3</v>
      </c>
      <c r="K404" s="9" t="b">
        <f>IF(Matiere_premiere[[#This Row],[INVENTAIRE]]&gt;0,TRUE,FALSE)</f>
        <v>0</v>
      </c>
      <c r="L404" s="65"/>
      <c r="M404" s="8" t="s">
        <v>103</v>
      </c>
      <c r="N404" s="8" t="s">
        <v>178</v>
      </c>
      <c r="O404" s="8" t="s">
        <v>177</v>
      </c>
      <c r="P404" s="8" t="s">
        <v>181</v>
      </c>
      <c r="Q404" s="53" t="s">
        <v>69</v>
      </c>
      <c r="R404" s="8" t="s">
        <v>73</v>
      </c>
      <c r="S404" s="7">
        <v>0</v>
      </c>
      <c r="T404" s="7"/>
      <c r="U404" s="7"/>
      <c r="V404" s="7">
        <f>SUM(Matiere_premiere[[#This Row],[INVENTAIRE]],-Matiere_premiere[[#This Row],[Entrée]],-Matiere_premiere[[#This Row],[Sortis]])</f>
        <v>0</v>
      </c>
      <c r="W404" s="50" t="str">
        <f>CONCATENATE(Matiere_premiere[[#This Row],[CODE COLEUR]],"_",Matiere_premiere[[#This Row],[COULEUR]],"_",Matiere_premiere[[#This Row],[CODE FAB]],"_",Matiere_premiere[[#This Row],[Num de Lot]])</f>
        <v>C20_VERT OLIVE_NM15-20.00_S2023</v>
      </c>
    </row>
    <row r="405" spans="1:23" ht="19.7" customHeight="1" thickBot="1" x14ac:dyDescent="0.3">
      <c r="A405" s="69"/>
      <c r="B405" s="72"/>
      <c r="C405" s="72"/>
      <c r="D405" s="75"/>
      <c r="E405" s="77"/>
      <c r="F405" s="79"/>
      <c r="G405" s="75"/>
      <c r="H405" s="77"/>
      <c r="I405" s="81"/>
      <c r="J405" s="10" t="str">
        <f>Matiere_premiere[[#This Row],[Entrepot]]</f>
        <v>Usine</v>
      </c>
      <c r="K405" s="9" t="b">
        <f>IF(Matiere_premiere[[#This Row],[INVENTAIRE]]&gt;0,TRUE,FALSE)</f>
        <v>1</v>
      </c>
      <c r="L405" s="66"/>
      <c r="M405" s="8" t="s">
        <v>103</v>
      </c>
      <c r="N405" s="8" t="s">
        <v>178</v>
      </c>
      <c r="O405" s="8" t="s">
        <v>177</v>
      </c>
      <c r="P405" s="8" t="s">
        <v>181</v>
      </c>
      <c r="Q405" s="53" t="s">
        <v>69</v>
      </c>
      <c r="R405" s="8" t="s">
        <v>68</v>
      </c>
      <c r="S405" s="7">
        <v>19.399999999999999</v>
      </c>
      <c r="T405" s="7"/>
      <c r="U405" s="7"/>
      <c r="V405" s="7">
        <f>SUM(Matiere_premiere[[#This Row],[INVENTAIRE]],-Matiere_premiere[[#This Row],[Entrée]],-Matiere_premiere[[#This Row],[Sortis]])</f>
        <v>19.399999999999999</v>
      </c>
      <c r="W405" s="50" t="str">
        <f>CONCATENATE(Matiere_premiere[[#This Row],[CODE COLEUR]],"_",Matiere_premiere[[#This Row],[COULEUR]],"_",Matiere_premiere[[#This Row],[CODE FAB]],"_",Matiere_premiere[[#This Row],[Num de Lot]])</f>
        <v>C20_VERT OLIVE_NM15-20.00_S2023</v>
      </c>
    </row>
    <row r="406" spans="1:23" ht="19.7" customHeight="1" thickTop="1" thickBot="1" x14ac:dyDescent="0.3">
      <c r="A406" s="67" t="str">
        <f>Matiere_premiere[[#This Row],[NUMERO METRIQUE]]</f>
        <v>NM15</v>
      </c>
      <c r="B406" s="70" t="str">
        <f>Matiere_premiere[[#This Row],[COULEUR]]</f>
        <v>VERT OLIVE</v>
      </c>
      <c r="C406" s="70" t="str">
        <f>Matiere_premiere[[#This Row],[CODE COLEUR]]</f>
        <v>C20</v>
      </c>
      <c r="D406" s="73" t="str">
        <f>Matiere_premiere[[#This Row],[CODE FAB]]</f>
        <v>NM15-20.01</v>
      </c>
      <c r="E406" s="76" t="e" vm="147">
        <f>_xlfn.IMAGE("https://api.qrserver.com/v1/create-qr-code/?size=100x100&amp;data=" &amp; D406)</f>
        <v>#VALUE!</v>
      </c>
      <c r="F406" s="78"/>
      <c r="G406" s="73">
        <f>Matiere_premiere[[#This Row],[Num de Lot]]</f>
        <v>61652</v>
      </c>
      <c r="H406" s="76" t="e" vm="148">
        <f>_xlfn.IMAGE("https://api.qrserver.com/v1/create-qr-code/?size=100x100&amp;data=" &amp; G406)</f>
        <v>#VALUE!</v>
      </c>
      <c r="I406" s="80"/>
      <c r="J406" s="12" t="str">
        <f>Matiere_premiere[[#This Row],[Entrepot]]</f>
        <v>E1</v>
      </c>
      <c r="K406" s="9" t="b">
        <f>IF(Matiere_premiere[[#This Row],[INVENTAIRE]]&gt;0,TRUE,FALSE)</f>
        <v>0</v>
      </c>
      <c r="L406" s="65"/>
      <c r="M406" s="13" t="s">
        <v>103</v>
      </c>
      <c r="N406" s="13" t="s">
        <v>178</v>
      </c>
      <c r="O406" s="13" t="s">
        <v>177</v>
      </c>
      <c r="P406" s="13" t="s">
        <v>180</v>
      </c>
      <c r="Q406" s="55">
        <v>61652</v>
      </c>
      <c r="R406" s="13" t="s">
        <v>75</v>
      </c>
      <c r="S406" s="14">
        <v>0</v>
      </c>
      <c r="T406" s="14"/>
      <c r="U406" s="14"/>
      <c r="V406" s="14">
        <f>SUM(Matiere_premiere[[#This Row],[INVENTAIRE]],-Matiere_premiere[[#This Row],[Entrée]],-Matiere_premiere[[#This Row],[Sortis]])</f>
        <v>0</v>
      </c>
      <c r="W406" s="50" t="str">
        <f>CONCATENATE(Matiere_premiere[[#This Row],[CODE COLEUR]],"_",Matiere_premiere[[#This Row],[COULEUR]],"_",Matiere_premiere[[#This Row],[CODE FAB]],"_",Matiere_premiere[[#This Row],[Num de Lot]])</f>
        <v>C20_VERT OLIVE_NM15-20.01_61652</v>
      </c>
    </row>
    <row r="407" spans="1:23" ht="19.7" customHeight="1" thickBot="1" x14ac:dyDescent="0.3">
      <c r="A407" s="68"/>
      <c r="B407" s="71"/>
      <c r="C407" s="71"/>
      <c r="D407" s="74"/>
      <c r="E407" s="76"/>
      <c r="F407" s="78"/>
      <c r="G407" s="74"/>
      <c r="H407" s="76"/>
      <c r="I407" s="80"/>
      <c r="J407" s="11" t="str">
        <f>Matiere_premiere[[#This Row],[Entrepot]]</f>
        <v>E2</v>
      </c>
      <c r="K407" s="9" t="b">
        <f>IF(Matiere_premiere[[#This Row],[INVENTAIRE]]&gt;0,TRUE,FALSE)</f>
        <v>0</v>
      </c>
      <c r="L407" s="65"/>
      <c r="M407" s="13" t="s">
        <v>103</v>
      </c>
      <c r="N407" s="13" t="s">
        <v>178</v>
      </c>
      <c r="O407" s="13" t="s">
        <v>177</v>
      </c>
      <c r="P407" s="13" t="s">
        <v>180</v>
      </c>
      <c r="Q407" s="55">
        <v>61652</v>
      </c>
      <c r="R407" s="13" t="s">
        <v>74</v>
      </c>
      <c r="S407" s="14">
        <v>0</v>
      </c>
      <c r="T407" s="14"/>
      <c r="U407" s="14"/>
      <c r="V407" s="14">
        <f>SUM(Matiere_premiere[[#This Row],[INVENTAIRE]],-Matiere_premiere[[#This Row],[Entrée]],-Matiere_premiere[[#This Row],[Sortis]])</f>
        <v>0</v>
      </c>
      <c r="W407" s="50" t="str">
        <f>CONCATENATE(Matiere_premiere[[#This Row],[CODE COLEUR]],"_",Matiere_premiere[[#This Row],[COULEUR]],"_",Matiere_premiere[[#This Row],[CODE FAB]],"_",Matiere_premiere[[#This Row],[Num de Lot]])</f>
        <v>C20_VERT OLIVE_NM15-20.01_61652</v>
      </c>
    </row>
    <row r="408" spans="1:23" ht="19.7" customHeight="1" thickBot="1" x14ac:dyDescent="0.3">
      <c r="A408" s="68"/>
      <c r="B408" s="71"/>
      <c r="C408" s="71"/>
      <c r="D408" s="74"/>
      <c r="E408" s="76"/>
      <c r="F408" s="78"/>
      <c r="G408" s="74"/>
      <c r="H408" s="76"/>
      <c r="I408" s="80"/>
      <c r="J408" s="11" t="str">
        <f>Matiere_premiere[[#This Row],[Entrepot]]</f>
        <v>E3</v>
      </c>
      <c r="K408" s="9" t="b">
        <f>IF(Matiere_premiere[[#This Row],[INVENTAIRE]]&gt;0,TRUE,FALSE)</f>
        <v>0</v>
      </c>
      <c r="L408" s="65"/>
      <c r="M408" s="13" t="s">
        <v>103</v>
      </c>
      <c r="N408" s="13" t="s">
        <v>178</v>
      </c>
      <c r="O408" s="13" t="s">
        <v>177</v>
      </c>
      <c r="P408" s="13" t="s">
        <v>180</v>
      </c>
      <c r="Q408" s="55">
        <v>61652</v>
      </c>
      <c r="R408" s="13" t="s">
        <v>73</v>
      </c>
      <c r="S408" s="14">
        <v>0</v>
      </c>
      <c r="T408" s="14"/>
      <c r="U408" s="14"/>
      <c r="V408" s="14">
        <f>SUM(Matiere_premiere[[#This Row],[INVENTAIRE]],-Matiere_premiere[[#This Row],[Entrée]],-Matiere_premiere[[#This Row],[Sortis]])</f>
        <v>0</v>
      </c>
      <c r="W408" s="50" t="str">
        <f>CONCATENATE(Matiere_premiere[[#This Row],[CODE COLEUR]],"_",Matiere_premiere[[#This Row],[COULEUR]],"_",Matiere_premiere[[#This Row],[CODE FAB]],"_",Matiere_premiere[[#This Row],[Num de Lot]])</f>
        <v>C20_VERT OLIVE_NM15-20.01_61652</v>
      </c>
    </row>
    <row r="409" spans="1:23" ht="19.7" customHeight="1" thickBot="1" x14ac:dyDescent="0.3">
      <c r="A409" s="69"/>
      <c r="B409" s="72"/>
      <c r="C409" s="72"/>
      <c r="D409" s="75"/>
      <c r="E409" s="77"/>
      <c r="F409" s="79"/>
      <c r="G409" s="75"/>
      <c r="H409" s="77"/>
      <c r="I409" s="81"/>
      <c r="J409" s="10" t="str">
        <f>Matiere_premiere[[#This Row],[Entrepot]]</f>
        <v>Usine</v>
      </c>
      <c r="K409" s="9" t="b">
        <f>IF(Matiere_premiere[[#This Row],[INVENTAIRE]]&gt;0,TRUE,FALSE)</f>
        <v>1</v>
      </c>
      <c r="L409" s="66"/>
      <c r="M409" s="13" t="s">
        <v>103</v>
      </c>
      <c r="N409" s="13" t="s">
        <v>178</v>
      </c>
      <c r="O409" s="13" t="s">
        <v>177</v>
      </c>
      <c r="P409" s="13" t="s">
        <v>180</v>
      </c>
      <c r="Q409" s="55">
        <v>61652</v>
      </c>
      <c r="R409" s="13" t="s">
        <v>68</v>
      </c>
      <c r="S409" s="14">
        <v>32.5</v>
      </c>
      <c r="T409" s="14"/>
      <c r="U409" s="14"/>
      <c r="V409" s="14">
        <f>SUM(Matiere_premiere[[#This Row],[INVENTAIRE]],-Matiere_premiere[[#This Row],[Entrée]],-Matiere_premiere[[#This Row],[Sortis]])</f>
        <v>32.5</v>
      </c>
      <c r="W409" s="50" t="str">
        <f>CONCATENATE(Matiere_premiere[[#This Row],[CODE COLEUR]],"_",Matiere_premiere[[#This Row],[COULEUR]],"_",Matiere_premiere[[#This Row],[CODE FAB]],"_",Matiere_premiere[[#This Row],[Num de Lot]])</f>
        <v>C20_VERT OLIVE_NM15-20.01_61652</v>
      </c>
    </row>
    <row r="410" spans="1:23" ht="19.7" customHeight="1" thickTop="1" thickBot="1" x14ac:dyDescent="0.3">
      <c r="A410" s="67" t="str">
        <f>Matiere_premiere[[#This Row],[NUMERO METRIQUE]]</f>
        <v>NM15</v>
      </c>
      <c r="B410" s="70" t="str">
        <f>Matiere_premiere[[#This Row],[COULEUR]]</f>
        <v>VERT OLIVE</v>
      </c>
      <c r="C410" s="70" t="str">
        <f>Matiere_premiere[[#This Row],[CODE COLEUR]]</f>
        <v>C20</v>
      </c>
      <c r="D410" s="73" t="str">
        <f>Matiere_premiere[[#This Row],[CODE FAB]]</f>
        <v>NM15-20.01</v>
      </c>
      <c r="E410" s="76" t="e" vm="147">
        <f>_xlfn.IMAGE("https://api.qrserver.com/v1/create-qr-code/?size=100x100&amp;data=" &amp; D410)</f>
        <v>#VALUE!</v>
      </c>
      <c r="F410" s="78"/>
      <c r="G410" s="73">
        <f>Matiere_premiere[[#This Row],[Num de Lot]]</f>
        <v>65357</v>
      </c>
      <c r="H410" s="76" t="e" vm="149">
        <f>_xlfn.IMAGE("https://api.qrserver.com/v1/create-qr-code/?size=100x100&amp;data=" &amp; G410)</f>
        <v>#VALUE!</v>
      </c>
      <c r="I410" s="80"/>
      <c r="J410" s="12" t="str">
        <f>Matiere_premiere[[#This Row],[Entrepot]]</f>
        <v>E1</v>
      </c>
      <c r="K410" s="9" t="b">
        <f>IF(Matiere_premiere[[#This Row],[INVENTAIRE]]&gt;0,TRUE,FALSE)</f>
        <v>0</v>
      </c>
      <c r="L410" s="65"/>
      <c r="M410" s="15" t="s">
        <v>103</v>
      </c>
      <c r="N410" s="15" t="s">
        <v>178</v>
      </c>
      <c r="O410" s="15" t="s">
        <v>177</v>
      </c>
      <c r="P410" s="15" t="s">
        <v>180</v>
      </c>
      <c r="Q410" s="56">
        <v>65357</v>
      </c>
      <c r="R410" s="8" t="s">
        <v>75</v>
      </c>
      <c r="S410" s="7">
        <v>0</v>
      </c>
      <c r="T410" s="7"/>
      <c r="U410" s="7"/>
      <c r="V410" s="7">
        <f>SUM(Matiere_premiere[[#This Row],[INVENTAIRE]],-Matiere_premiere[[#This Row],[Entrée]],-Matiere_premiere[[#This Row],[Sortis]])</f>
        <v>0</v>
      </c>
      <c r="W410" s="50" t="str">
        <f>CONCATENATE(Matiere_premiere[[#This Row],[CODE COLEUR]],"_",Matiere_premiere[[#This Row],[COULEUR]],"_",Matiere_premiere[[#This Row],[CODE FAB]],"_",Matiere_premiere[[#This Row],[Num de Lot]])</f>
        <v>C20_VERT OLIVE_NM15-20.01_65357</v>
      </c>
    </row>
    <row r="411" spans="1:23" ht="19.7" customHeight="1" thickBot="1" x14ac:dyDescent="0.3">
      <c r="A411" s="68"/>
      <c r="B411" s="71"/>
      <c r="C411" s="71"/>
      <c r="D411" s="74"/>
      <c r="E411" s="76"/>
      <c r="F411" s="78"/>
      <c r="G411" s="74"/>
      <c r="H411" s="76"/>
      <c r="I411" s="80"/>
      <c r="J411" s="11" t="str">
        <f>Matiere_premiere[[#This Row],[Entrepot]]</f>
        <v>E2</v>
      </c>
      <c r="K411" s="9" t="b">
        <f>IF(Matiere_premiere[[#This Row],[INVENTAIRE]]&gt;0,TRUE,FALSE)</f>
        <v>0</v>
      </c>
      <c r="L411" s="65"/>
      <c r="M411" s="15" t="s">
        <v>103</v>
      </c>
      <c r="N411" s="15" t="s">
        <v>178</v>
      </c>
      <c r="O411" s="15" t="s">
        <v>177</v>
      </c>
      <c r="P411" s="15" t="s">
        <v>180</v>
      </c>
      <c r="Q411" s="56">
        <v>65357</v>
      </c>
      <c r="R411" s="8" t="s">
        <v>74</v>
      </c>
      <c r="S411" s="7">
        <v>0</v>
      </c>
      <c r="T411" s="7"/>
      <c r="U411" s="7"/>
      <c r="V411" s="7">
        <f>SUM(Matiere_premiere[[#This Row],[INVENTAIRE]],-Matiere_premiere[[#This Row],[Entrée]],-Matiere_premiere[[#This Row],[Sortis]])</f>
        <v>0</v>
      </c>
      <c r="W411" s="50" t="str">
        <f>CONCATENATE(Matiere_premiere[[#This Row],[CODE COLEUR]],"_",Matiere_premiere[[#This Row],[COULEUR]],"_",Matiere_premiere[[#This Row],[CODE FAB]],"_",Matiere_premiere[[#This Row],[Num de Lot]])</f>
        <v>C20_VERT OLIVE_NM15-20.01_65357</v>
      </c>
    </row>
    <row r="412" spans="1:23" ht="19.7" customHeight="1" thickBot="1" x14ac:dyDescent="0.3">
      <c r="A412" s="68"/>
      <c r="B412" s="71"/>
      <c r="C412" s="71"/>
      <c r="D412" s="74"/>
      <c r="E412" s="76"/>
      <c r="F412" s="78"/>
      <c r="G412" s="74"/>
      <c r="H412" s="76"/>
      <c r="I412" s="80"/>
      <c r="J412" s="11" t="str">
        <f>Matiere_premiere[[#This Row],[Entrepot]]</f>
        <v>E3</v>
      </c>
      <c r="K412" s="9" t="b">
        <f>IF(Matiere_premiere[[#This Row],[INVENTAIRE]]&gt;0,TRUE,FALSE)</f>
        <v>0</v>
      </c>
      <c r="L412" s="65"/>
      <c r="M412" s="15" t="s">
        <v>103</v>
      </c>
      <c r="N412" s="15" t="s">
        <v>178</v>
      </c>
      <c r="O412" s="15" t="s">
        <v>177</v>
      </c>
      <c r="P412" s="15" t="s">
        <v>180</v>
      </c>
      <c r="Q412" s="56">
        <v>65357</v>
      </c>
      <c r="R412" s="8" t="s">
        <v>73</v>
      </c>
      <c r="S412" s="7">
        <v>0</v>
      </c>
      <c r="T412" s="7"/>
      <c r="U412" s="7"/>
      <c r="V412" s="7">
        <f>SUM(Matiere_premiere[[#This Row],[INVENTAIRE]],-Matiere_premiere[[#This Row],[Entrée]],-Matiere_premiere[[#This Row],[Sortis]])</f>
        <v>0</v>
      </c>
      <c r="W412" s="50" t="str">
        <f>CONCATENATE(Matiere_premiere[[#This Row],[CODE COLEUR]],"_",Matiere_premiere[[#This Row],[COULEUR]],"_",Matiere_premiere[[#This Row],[CODE FAB]],"_",Matiere_premiere[[#This Row],[Num de Lot]])</f>
        <v>C20_VERT OLIVE_NM15-20.01_65357</v>
      </c>
    </row>
    <row r="413" spans="1:23" ht="19.7" customHeight="1" thickBot="1" x14ac:dyDescent="0.3">
      <c r="A413" s="69"/>
      <c r="B413" s="72"/>
      <c r="C413" s="72"/>
      <c r="D413" s="75"/>
      <c r="E413" s="77"/>
      <c r="F413" s="79"/>
      <c r="G413" s="75"/>
      <c r="H413" s="77"/>
      <c r="I413" s="81"/>
      <c r="J413" s="10" t="str">
        <f>Matiere_premiere[[#This Row],[Entrepot]]</f>
        <v>Usine</v>
      </c>
      <c r="K413" s="9" t="b">
        <f>IF(Matiere_premiere[[#This Row],[INVENTAIRE]]&gt;0,TRUE,FALSE)</f>
        <v>0</v>
      </c>
      <c r="L413" s="66"/>
      <c r="M413" s="8" t="s">
        <v>103</v>
      </c>
      <c r="N413" s="8" t="s">
        <v>178</v>
      </c>
      <c r="O413" s="8" t="s">
        <v>177</v>
      </c>
      <c r="P413" s="8" t="s">
        <v>180</v>
      </c>
      <c r="Q413" s="53">
        <v>65357</v>
      </c>
      <c r="R413" s="8" t="s">
        <v>68</v>
      </c>
      <c r="S413" s="7">
        <v>0</v>
      </c>
      <c r="T413" s="7"/>
      <c r="U413" s="7"/>
      <c r="V413" s="7">
        <f>SUM(Matiere_premiere[[#This Row],[INVENTAIRE]],-Matiere_premiere[[#This Row],[Entrée]],-Matiere_premiere[[#This Row],[Sortis]])</f>
        <v>0</v>
      </c>
      <c r="W413" s="50" t="str">
        <f>CONCATENATE(Matiere_premiere[[#This Row],[CODE COLEUR]],"_",Matiere_premiere[[#This Row],[COULEUR]],"_",Matiere_premiere[[#This Row],[CODE FAB]],"_",Matiere_premiere[[#This Row],[Num de Lot]])</f>
        <v>C20_VERT OLIVE_NM15-20.01_65357</v>
      </c>
    </row>
    <row r="414" spans="1:23" ht="19.7" customHeight="1" thickTop="1" thickBot="1" x14ac:dyDescent="0.3">
      <c r="A414" s="67" t="str">
        <f>Matiere_premiere[[#This Row],[NUMERO METRIQUE]]</f>
        <v>NM34</v>
      </c>
      <c r="B414" s="70" t="str">
        <f>Matiere_premiere[[#This Row],[COULEUR]]</f>
        <v>VERT OLIVE</v>
      </c>
      <c r="C414" s="70" t="str">
        <f>Matiere_premiere[[#This Row],[CODE COLEUR]]</f>
        <v>C20</v>
      </c>
      <c r="D414" s="73" t="str">
        <f>Matiere_premiere[[#This Row],[CODE FAB]]</f>
        <v>NM34-20.01</v>
      </c>
      <c r="E414" s="76" t="e" vm="150">
        <f>_xlfn.IMAGE("https://api.qrserver.com/v1/create-qr-code/?size=100x100&amp;data=" &amp; D414)</f>
        <v>#VALUE!</v>
      </c>
      <c r="F414" s="78"/>
      <c r="G414" s="73" t="str">
        <f>Matiere_premiere[[#This Row],[Num de Lot]]</f>
        <v>S2024</v>
      </c>
      <c r="H414" s="76" t="e" vm="20">
        <f>_xlfn.IMAGE("https://api.qrserver.com/v1/create-qr-code/?size=100x100&amp;data=" &amp; G414)</f>
        <v>#VALUE!</v>
      </c>
      <c r="I414" s="80"/>
      <c r="J414" s="12" t="str">
        <f>Matiere_premiere[[#This Row],[Entrepot]]</f>
        <v>E1</v>
      </c>
      <c r="K414" s="9" t="b">
        <f>IF(Matiere_premiere[[#This Row],[INVENTAIRE]]&gt;0,TRUE,FALSE)</f>
        <v>0</v>
      </c>
      <c r="L414" s="65"/>
      <c r="M414" s="13" t="s">
        <v>179</v>
      </c>
      <c r="N414" s="13" t="s">
        <v>178</v>
      </c>
      <c r="O414" s="13" t="s">
        <v>177</v>
      </c>
      <c r="P414" s="13" t="s">
        <v>176</v>
      </c>
      <c r="Q414" s="55" t="s">
        <v>175</v>
      </c>
      <c r="R414" s="13" t="s">
        <v>75</v>
      </c>
      <c r="S414" s="14">
        <v>0</v>
      </c>
      <c r="T414" s="14"/>
      <c r="U414" s="14"/>
      <c r="V414" s="14">
        <f>SUM(Matiere_premiere[[#This Row],[INVENTAIRE]],-Matiere_premiere[[#This Row],[Entrée]],-Matiere_premiere[[#This Row],[Sortis]])</f>
        <v>0</v>
      </c>
      <c r="W414" s="50" t="str">
        <f>CONCATENATE(Matiere_premiere[[#This Row],[CODE COLEUR]],"_",Matiere_premiere[[#This Row],[COULEUR]],"_",Matiere_premiere[[#This Row],[CODE FAB]],"_",Matiere_premiere[[#This Row],[Num de Lot]])</f>
        <v>C20_VERT OLIVE_NM34-20.01_S2024</v>
      </c>
    </row>
    <row r="415" spans="1:23" ht="19.7" customHeight="1" thickBot="1" x14ac:dyDescent="0.3">
      <c r="A415" s="68"/>
      <c r="B415" s="71"/>
      <c r="C415" s="71"/>
      <c r="D415" s="74"/>
      <c r="E415" s="76"/>
      <c r="F415" s="78"/>
      <c r="G415" s="74"/>
      <c r="H415" s="76"/>
      <c r="I415" s="80"/>
      <c r="J415" s="11" t="str">
        <f>Matiere_premiere[[#This Row],[Entrepot]]</f>
        <v>E2</v>
      </c>
      <c r="K415" s="9" t="b">
        <f>IF(Matiere_premiere[[#This Row],[INVENTAIRE]]&gt;0,TRUE,FALSE)</f>
        <v>0</v>
      </c>
      <c r="L415" s="65"/>
      <c r="M415" s="13" t="s">
        <v>179</v>
      </c>
      <c r="N415" s="13" t="s">
        <v>178</v>
      </c>
      <c r="O415" s="13" t="s">
        <v>177</v>
      </c>
      <c r="P415" s="13" t="s">
        <v>176</v>
      </c>
      <c r="Q415" s="55" t="s">
        <v>175</v>
      </c>
      <c r="R415" s="13" t="s">
        <v>74</v>
      </c>
      <c r="S415" s="14">
        <v>0</v>
      </c>
      <c r="T415" s="14"/>
      <c r="U415" s="14"/>
      <c r="V415" s="14">
        <f>SUM(Matiere_premiere[[#This Row],[INVENTAIRE]],-Matiere_premiere[[#This Row],[Entrée]],-Matiere_premiere[[#This Row],[Sortis]])</f>
        <v>0</v>
      </c>
      <c r="W415" s="50" t="str">
        <f>CONCATENATE(Matiere_premiere[[#This Row],[CODE COLEUR]],"_",Matiere_premiere[[#This Row],[COULEUR]],"_",Matiere_premiere[[#This Row],[CODE FAB]],"_",Matiere_premiere[[#This Row],[Num de Lot]])</f>
        <v>C20_VERT OLIVE_NM34-20.01_S2024</v>
      </c>
    </row>
    <row r="416" spans="1:23" ht="19.7" customHeight="1" thickBot="1" x14ac:dyDescent="0.3">
      <c r="A416" s="68"/>
      <c r="B416" s="71"/>
      <c r="C416" s="71"/>
      <c r="D416" s="74"/>
      <c r="E416" s="76"/>
      <c r="F416" s="78"/>
      <c r="G416" s="74"/>
      <c r="H416" s="76"/>
      <c r="I416" s="80"/>
      <c r="J416" s="11" t="str">
        <f>Matiere_premiere[[#This Row],[Entrepot]]</f>
        <v>E3</v>
      </c>
      <c r="K416" s="9" t="b">
        <f>IF(Matiere_premiere[[#This Row],[INVENTAIRE]]&gt;0,TRUE,FALSE)</f>
        <v>0</v>
      </c>
      <c r="L416" s="65"/>
      <c r="M416" s="13" t="s">
        <v>179</v>
      </c>
      <c r="N416" s="13" t="s">
        <v>178</v>
      </c>
      <c r="O416" s="13" t="s">
        <v>177</v>
      </c>
      <c r="P416" s="13" t="s">
        <v>176</v>
      </c>
      <c r="Q416" s="55" t="s">
        <v>175</v>
      </c>
      <c r="R416" s="13" t="s">
        <v>73</v>
      </c>
      <c r="S416" s="14">
        <v>0</v>
      </c>
      <c r="T416" s="14"/>
      <c r="U416" s="14"/>
      <c r="V416" s="14">
        <f>SUM(Matiere_premiere[[#This Row],[INVENTAIRE]],-Matiere_premiere[[#This Row],[Entrée]],-Matiere_premiere[[#This Row],[Sortis]])</f>
        <v>0</v>
      </c>
      <c r="W416" s="50" t="str">
        <f>CONCATENATE(Matiere_premiere[[#This Row],[CODE COLEUR]],"_",Matiere_premiere[[#This Row],[COULEUR]],"_",Matiere_premiere[[#This Row],[CODE FAB]],"_",Matiere_premiere[[#This Row],[Num de Lot]])</f>
        <v>C20_VERT OLIVE_NM34-20.01_S2024</v>
      </c>
    </row>
    <row r="417" spans="1:23" ht="19.7" customHeight="1" thickBot="1" x14ac:dyDescent="0.3">
      <c r="A417" s="69"/>
      <c r="B417" s="72"/>
      <c r="C417" s="72"/>
      <c r="D417" s="75"/>
      <c r="E417" s="77"/>
      <c r="F417" s="79"/>
      <c r="G417" s="75"/>
      <c r="H417" s="77"/>
      <c r="I417" s="81"/>
      <c r="J417" s="10" t="str">
        <f>Matiere_premiere[[#This Row],[Entrepot]]</f>
        <v>Usine</v>
      </c>
      <c r="K417" s="9" t="b">
        <f>IF(Matiere_premiere[[#This Row],[INVENTAIRE]]&gt;0,TRUE,FALSE)</f>
        <v>1</v>
      </c>
      <c r="L417" s="66"/>
      <c r="M417" s="13" t="s">
        <v>179</v>
      </c>
      <c r="N417" s="13" t="s">
        <v>178</v>
      </c>
      <c r="O417" s="13" t="s">
        <v>177</v>
      </c>
      <c r="P417" s="13" t="s">
        <v>176</v>
      </c>
      <c r="Q417" s="55" t="s">
        <v>175</v>
      </c>
      <c r="R417" s="13" t="s">
        <v>68</v>
      </c>
      <c r="S417" s="14">
        <v>37</v>
      </c>
      <c r="T417" s="14"/>
      <c r="U417" s="14"/>
      <c r="V417" s="14">
        <f>SUM(Matiere_premiere[[#This Row],[INVENTAIRE]],-Matiere_premiere[[#This Row],[Entrée]],-Matiere_premiere[[#This Row],[Sortis]])</f>
        <v>37</v>
      </c>
      <c r="W417" s="50" t="str">
        <f>CONCATENATE(Matiere_premiere[[#This Row],[CODE COLEUR]],"_",Matiere_premiere[[#This Row],[COULEUR]],"_",Matiere_premiere[[#This Row],[CODE FAB]],"_",Matiere_premiere[[#This Row],[Num de Lot]])</f>
        <v>C20_VERT OLIVE_NM34-20.01_S2024</v>
      </c>
    </row>
    <row r="418" spans="1:23" ht="19.7" customHeight="1" thickTop="1" thickBot="1" x14ac:dyDescent="0.3">
      <c r="A418" s="67" t="str">
        <f>Matiere_premiere[[#This Row],[NUMERO METRIQUE]]</f>
        <v>NM10</v>
      </c>
      <c r="B418" s="70" t="str">
        <f>Matiere_premiere[[#This Row],[COULEUR]]</f>
        <v>KAKI</v>
      </c>
      <c r="C418" s="70" t="str">
        <f>Matiere_premiere[[#This Row],[CODE COLEUR]]</f>
        <v>C21</v>
      </c>
      <c r="D418" s="73" t="str">
        <f>Matiere_premiere[[#This Row],[CODE FAB]]</f>
        <v>NM10-21.01</v>
      </c>
      <c r="E418" s="76" t="e" vm="151">
        <f>_xlfn.IMAGE("https://api.qrserver.com/v1/create-qr-code/?size=100x100&amp;data=" &amp; D418)</f>
        <v>#VALUE!</v>
      </c>
      <c r="F418" s="78"/>
      <c r="G418" s="73">
        <f>Matiere_premiere[[#This Row],[Num de Lot]]</f>
        <v>53987</v>
      </c>
      <c r="H418" s="76" t="e" vm="152">
        <f>_xlfn.IMAGE("https://api.qrserver.com/v1/create-qr-code/?size=100x100&amp;data=" &amp; G418)</f>
        <v>#VALUE!</v>
      </c>
      <c r="I418" s="80"/>
      <c r="J418" s="12" t="str">
        <f>Matiere_premiere[[#This Row],[Entrepot]]</f>
        <v>E1</v>
      </c>
      <c r="K418" s="9" t="b">
        <f>IF(Matiere_premiere[[#This Row],[INVENTAIRE]]&gt;0,TRUE,FALSE)</f>
        <v>0</v>
      </c>
      <c r="L418" s="65"/>
      <c r="M418" s="8" t="s">
        <v>116</v>
      </c>
      <c r="N418" s="8" t="s">
        <v>174</v>
      </c>
      <c r="O418" s="8" t="s">
        <v>169</v>
      </c>
      <c r="P418" s="8" t="s">
        <v>173</v>
      </c>
      <c r="Q418" s="53">
        <v>53987</v>
      </c>
      <c r="R418" s="8" t="s">
        <v>75</v>
      </c>
      <c r="S418" s="7">
        <v>0</v>
      </c>
      <c r="T418" s="7"/>
      <c r="U418" s="7"/>
      <c r="V418" s="7">
        <f>SUM(Matiere_premiere[[#This Row],[INVENTAIRE]],-Matiere_premiere[[#This Row],[Entrée]],-Matiere_premiere[[#This Row],[Sortis]])</f>
        <v>0</v>
      </c>
      <c r="W418" s="50" t="str">
        <f>CONCATENATE(Matiere_premiere[[#This Row],[CODE COLEUR]],"_",Matiere_premiere[[#This Row],[COULEUR]],"_",Matiere_premiere[[#This Row],[CODE FAB]],"_",Matiere_premiere[[#This Row],[Num de Lot]])</f>
        <v>C21_KAKI_NM10-21.01_53987</v>
      </c>
    </row>
    <row r="419" spans="1:23" ht="19.7" customHeight="1" thickBot="1" x14ac:dyDescent="0.3">
      <c r="A419" s="68"/>
      <c r="B419" s="71"/>
      <c r="C419" s="71"/>
      <c r="D419" s="74"/>
      <c r="E419" s="76"/>
      <c r="F419" s="78"/>
      <c r="G419" s="74"/>
      <c r="H419" s="76"/>
      <c r="I419" s="80"/>
      <c r="J419" s="11" t="str">
        <f>Matiere_premiere[[#This Row],[Entrepot]]</f>
        <v>E2</v>
      </c>
      <c r="K419" s="9" t="b">
        <f>IF(Matiere_premiere[[#This Row],[INVENTAIRE]]&gt;0,TRUE,FALSE)</f>
        <v>0</v>
      </c>
      <c r="L419" s="65"/>
      <c r="M419" s="8" t="s">
        <v>116</v>
      </c>
      <c r="N419" s="8" t="s">
        <v>174</v>
      </c>
      <c r="O419" s="8" t="s">
        <v>169</v>
      </c>
      <c r="P419" s="8" t="s">
        <v>173</v>
      </c>
      <c r="Q419" s="53">
        <v>53987</v>
      </c>
      <c r="R419" s="8" t="s">
        <v>74</v>
      </c>
      <c r="S419" s="7">
        <v>0</v>
      </c>
      <c r="T419" s="7"/>
      <c r="U419" s="7"/>
      <c r="V419" s="7">
        <f>SUM(Matiere_premiere[[#This Row],[INVENTAIRE]],-Matiere_premiere[[#This Row],[Entrée]],-Matiere_premiere[[#This Row],[Sortis]])</f>
        <v>0</v>
      </c>
      <c r="W419" s="50" t="str">
        <f>CONCATENATE(Matiere_premiere[[#This Row],[CODE COLEUR]],"_",Matiere_premiere[[#This Row],[COULEUR]],"_",Matiere_premiere[[#This Row],[CODE FAB]],"_",Matiere_premiere[[#This Row],[Num de Lot]])</f>
        <v>C21_KAKI_NM10-21.01_53987</v>
      </c>
    </row>
    <row r="420" spans="1:23" ht="19.7" customHeight="1" thickBot="1" x14ac:dyDescent="0.3">
      <c r="A420" s="68"/>
      <c r="B420" s="71"/>
      <c r="C420" s="71"/>
      <c r="D420" s="74"/>
      <c r="E420" s="76"/>
      <c r="F420" s="78"/>
      <c r="G420" s="74"/>
      <c r="H420" s="76"/>
      <c r="I420" s="80"/>
      <c r="J420" s="11" t="str">
        <f>Matiere_premiere[[#This Row],[Entrepot]]</f>
        <v>E3</v>
      </c>
      <c r="K420" s="9" t="b">
        <f>IF(Matiere_premiere[[#This Row],[INVENTAIRE]]&gt;0,TRUE,FALSE)</f>
        <v>1</v>
      </c>
      <c r="L420" s="65"/>
      <c r="M420" s="8" t="s">
        <v>116</v>
      </c>
      <c r="N420" s="8" t="s">
        <v>174</v>
      </c>
      <c r="O420" s="8" t="s">
        <v>169</v>
      </c>
      <c r="P420" s="8" t="s">
        <v>173</v>
      </c>
      <c r="Q420" s="53">
        <v>53987</v>
      </c>
      <c r="R420" s="8" t="s">
        <v>73</v>
      </c>
      <c r="S420" s="7">
        <v>423.5</v>
      </c>
      <c r="T420" s="7"/>
      <c r="U420" s="7"/>
      <c r="V420" s="7">
        <f>SUM(Matiere_premiere[[#This Row],[INVENTAIRE]],-Matiere_premiere[[#This Row],[Entrée]],-Matiere_premiere[[#This Row],[Sortis]])</f>
        <v>423.5</v>
      </c>
      <c r="W420" s="50" t="str">
        <f>CONCATENATE(Matiere_premiere[[#This Row],[CODE COLEUR]],"_",Matiere_premiere[[#This Row],[COULEUR]],"_",Matiere_premiere[[#This Row],[CODE FAB]],"_",Matiere_premiere[[#This Row],[Num de Lot]])</f>
        <v>C21_KAKI_NM10-21.01_53987</v>
      </c>
    </row>
    <row r="421" spans="1:23" ht="19.7" customHeight="1" thickBot="1" x14ac:dyDescent="0.3">
      <c r="A421" s="69"/>
      <c r="B421" s="72"/>
      <c r="C421" s="72"/>
      <c r="D421" s="75"/>
      <c r="E421" s="77"/>
      <c r="F421" s="79"/>
      <c r="G421" s="75"/>
      <c r="H421" s="77"/>
      <c r="I421" s="81"/>
      <c r="J421" s="10" t="str">
        <f>Matiere_premiere[[#This Row],[Entrepot]]</f>
        <v>Usine</v>
      </c>
      <c r="K421" s="9" t="b">
        <f>IF(Matiere_premiere[[#This Row],[INVENTAIRE]]&gt;0,TRUE,FALSE)</f>
        <v>0</v>
      </c>
      <c r="L421" s="66"/>
      <c r="M421" s="8" t="s">
        <v>116</v>
      </c>
      <c r="N421" s="8" t="s">
        <v>174</v>
      </c>
      <c r="O421" s="8" t="s">
        <v>169</v>
      </c>
      <c r="P421" s="8" t="s">
        <v>173</v>
      </c>
      <c r="Q421" s="53">
        <v>53987</v>
      </c>
      <c r="R421" s="8" t="s">
        <v>68</v>
      </c>
      <c r="S421" s="7">
        <v>0</v>
      </c>
      <c r="T421" s="7"/>
      <c r="U421" s="7"/>
      <c r="V421" s="7">
        <f>SUM(Matiere_premiere[[#This Row],[INVENTAIRE]],-Matiere_premiere[[#This Row],[Entrée]],-Matiere_premiere[[#This Row],[Sortis]])</f>
        <v>0</v>
      </c>
      <c r="W421" s="50" t="str">
        <f>CONCATENATE(Matiere_premiere[[#This Row],[CODE COLEUR]],"_",Matiere_premiere[[#This Row],[COULEUR]],"_",Matiere_premiere[[#This Row],[CODE FAB]],"_",Matiere_premiere[[#This Row],[Num de Lot]])</f>
        <v>C21_KAKI_NM10-21.01_53987</v>
      </c>
    </row>
    <row r="422" spans="1:23" ht="19.7" customHeight="1" thickTop="1" thickBot="1" x14ac:dyDescent="0.3">
      <c r="A422" s="67" t="str">
        <f>Matiere_premiere[[#This Row],[NUMERO METRIQUE]]</f>
        <v>NM15</v>
      </c>
      <c r="B422" s="70" t="str">
        <f>Matiere_premiere[[#This Row],[COULEUR]]</f>
        <v>VERT PISTACHE</v>
      </c>
      <c r="C422" s="70" t="str">
        <f>Matiere_premiere[[#This Row],[CODE COLEUR]]</f>
        <v>C21</v>
      </c>
      <c r="D422" s="73" t="str">
        <f>Matiere_premiere[[#This Row],[CODE FAB]]</f>
        <v>NM15-21.00</v>
      </c>
      <c r="E422" s="76" t="e" vm="153">
        <f>_xlfn.IMAGE("https://api.qrserver.com/v1/create-qr-code/?size=100x100&amp;data=" &amp; D422)</f>
        <v>#VALUE!</v>
      </c>
      <c r="F422" s="78"/>
      <c r="G422" s="73">
        <f>Matiere_premiere[[#This Row],[Num de Lot]]</f>
        <v>61669</v>
      </c>
      <c r="H422" s="76" t="e" vm="154">
        <f>_xlfn.IMAGE("https://api.qrserver.com/v1/create-qr-code/?size=100x100&amp;data=" &amp; G422)</f>
        <v>#VALUE!</v>
      </c>
      <c r="I422" s="80"/>
      <c r="J422" s="12" t="str">
        <f>Matiere_premiere[[#This Row],[Entrepot]]</f>
        <v>E1</v>
      </c>
      <c r="K422" s="9" t="b">
        <f>IF(Matiere_premiere[[#This Row],[INVENTAIRE]]&gt;0,TRUE,FALSE)</f>
        <v>1</v>
      </c>
      <c r="L422" s="65"/>
      <c r="M422" s="13" t="s">
        <v>103</v>
      </c>
      <c r="N422" s="13" t="s">
        <v>170</v>
      </c>
      <c r="O422" s="13" t="s">
        <v>169</v>
      </c>
      <c r="P422" s="13" t="s">
        <v>172</v>
      </c>
      <c r="Q422" s="55">
        <v>61669</v>
      </c>
      <c r="R422" s="13" t="s">
        <v>75</v>
      </c>
      <c r="S422" s="14">
        <v>301</v>
      </c>
      <c r="T422" s="14"/>
      <c r="U422" s="14"/>
      <c r="V422" s="14">
        <f>SUM(Matiere_premiere[[#This Row],[INVENTAIRE]],-Matiere_premiere[[#This Row],[Entrée]],-Matiere_premiere[[#This Row],[Sortis]])</f>
        <v>301</v>
      </c>
      <c r="W422" s="50" t="str">
        <f>CONCATENATE(Matiere_premiere[[#This Row],[CODE COLEUR]],"_",Matiere_premiere[[#This Row],[COULEUR]],"_",Matiere_premiere[[#This Row],[CODE FAB]],"_",Matiere_premiere[[#This Row],[Num de Lot]])</f>
        <v>C21_VERT PISTACHE_NM15-21.00_61669</v>
      </c>
    </row>
    <row r="423" spans="1:23" ht="19.7" customHeight="1" thickBot="1" x14ac:dyDescent="0.3">
      <c r="A423" s="68"/>
      <c r="B423" s="71"/>
      <c r="C423" s="71"/>
      <c r="D423" s="74"/>
      <c r="E423" s="76"/>
      <c r="F423" s="78"/>
      <c r="G423" s="74"/>
      <c r="H423" s="76"/>
      <c r="I423" s="80"/>
      <c r="J423" s="11" t="str">
        <f>Matiere_premiere[[#This Row],[Entrepot]]</f>
        <v>E2</v>
      </c>
      <c r="K423" s="9" t="b">
        <f>IF(Matiere_premiere[[#This Row],[INVENTAIRE]]&gt;0,TRUE,FALSE)</f>
        <v>0</v>
      </c>
      <c r="L423" s="65"/>
      <c r="M423" s="13" t="s">
        <v>103</v>
      </c>
      <c r="N423" s="13" t="s">
        <v>170</v>
      </c>
      <c r="O423" s="13" t="s">
        <v>169</v>
      </c>
      <c r="P423" s="13" t="s">
        <v>172</v>
      </c>
      <c r="Q423" s="55">
        <v>61669</v>
      </c>
      <c r="R423" s="13" t="s">
        <v>74</v>
      </c>
      <c r="S423" s="14">
        <v>0</v>
      </c>
      <c r="T423" s="14"/>
      <c r="U423" s="14"/>
      <c r="V423" s="14">
        <f>SUM(Matiere_premiere[[#This Row],[INVENTAIRE]],-Matiere_premiere[[#This Row],[Entrée]],-Matiere_premiere[[#This Row],[Sortis]])</f>
        <v>0</v>
      </c>
      <c r="W423" s="50" t="str">
        <f>CONCATENATE(Matiere_premiere[[#This Row],[CODE COLEUR]],"_",Matiere_premiere[[#This Row],[COULEUR]],"_",Matiere_premiere[[#This Row],[CODE FAB]],"_",Matiere_premiere[[#This Row],[Num de Lot]])</f>
        <v>C21_VERT PISTACHE_NM15-21.00_61669</v>
      </c>
    </row>
    <row r="424" spans="1:23" ht="19.7" customHeight="1" thickBot="1" x14ac:dyDescent="0.3">
      <c r="A424" s="68"/>
      <c r="B424" s="71"/>
      <c r="C424" s="71"/>
      <c r="D424" s="74"/>
      <c r="E424" s="76"/>
      <c r="F424" s="78"/>
      <c r="G424" s="74"/>
      <c r="H424" s="76"/>
      <c r="I424" s="80"/>
      <c r="J424" s="11" t="str">
        <f>Matiere_premiere[[#This Row],[Entrepot]]</f>
        <v>E3</v>
      </c>
      <c r="K424" s="9" t="b">
        <f>IF(Matiere_premiere[[#This Row],[INVENTAIRE]]&gt;0,TRUE,FALSE)</f>
        <v>0</v>
      </c>
      <c r="L424" s="65"/>
      <c r="M424" s="13" t="s">
        <v>103</v>
      </c>
      <c r="N424" s="13" t="s">
        <v>170</v>
      </c>
      <c r="O424" s="13" t="s">
        <v>169</v>
      </c>
      <c r="P424" s="13" t="s">
        <v>172</v>
      </c>
      <c r="Q424" s="55">
        <v>61669</v>
      </c>
      <c r="R424" s="13" t="s">
        <v>73</v>
      </c>
      <c r="S424" s="14">
        <v>0</v>
      </c>
      <c r="T424" s="14"/>
      <c r="U424" s="14"/>
      <c r="V424" s="14">
        <f>SUM(Matiere_premiere[[#This Row],[INVENTAIRE]],-Matiere_premiere[[#This Row],[Entrée]],-Matiere_premiere[[#This Row],[Sortis]])</f>
        <v>0</v>
      </c>
      <c r="W424" s="50" t="str">
        <f>CONCATENATE(Matiere_premiere[[#This Row],[CODE COLEUR]],"_",Matiere_premiere[[#This Row],[COULEUR]],"_",Matiere_premiere[[#This Row],[CODE FAB]],"_",Matiere_premiere[[#This Row],[Num de Lot]])</f>
        <v>C21_VERT PISTACHE_NM15-21.00_61669</v>
      </c>
    </row>
    <row r="425" spans="1:23" ht="19.7" customHeight="1" thickBot="1" x14ac:dyDescent="0.3">
      <c r="A425" s="69"/>
      <c r="B425" s="72"/>
      <c r="C425" s="72"/>
      <c r="D425" s="75"/>
      <c r="E425" s="77"/>
      <c r="F425" s="79"/>
      <c r="G425" s="75"/>
      <c r="H425" s="77"/>
      <c r="I425" s="81"/>
      <c r="J425" s="10" t="str">
        <f>Matiere_premiere[[#This Row],[Entrepot]]</f>
        <v>Usine</v>
      </c>
      <c r="K425" s="9" t="b">
        <f>IF(Matiere_premiere[[#This Row],[INVENTAIRE]]&gt;0,TRUE,FALSE)</f>
        <v>1</v>
      </c>
      <c r="L425" s="66"/>
      <c r="M425" s="13" t="s">
        <v>103</v>
      </c>
      <c r="N425" s="13" t="s">
        <v>170</v>
      </c>
      <c r="O425" s="13" t="s">
        <v>169</v>
      </c>
      <c r="P425" s="13" t="s">
        <v>172</v>
      </c>
      <c r="Q425" s="55">
        <v>61669</v>
      </c>
      <c r="R425" s="13" t="s">
        <v>68</v>
      </c>
      <c r="S425" s="14">
        <v>329.7</v>
      </c>
      <c r="T425" s="14"/>
      <c r="U425" s="14"/>
      <c r="V425" s="14">
        <f>SUM(Matiere_premiere[[#This Row],[INVENTAIRE]],-Matiere_premiere[[#This Row],[Entrée]],-Matiere_premiere[[#This Row],[Sortis]])</f>
        <v>329.7</v>
      </c>
      <c r="W425" s="50" t="str">
        <f>CONCATENATE(Matiere_premiere[[#This Row],[CODE COLEUR]],"_",Matiere_premiere[[#This Row],[COULEUR]],"_",Matiere_premiere[[#This Row],[CODE FAB]],"_",Matiere_premiere[[#This Row],[Num de Lot]])</f>
        <v>C21_VERT PISTACHE_NM15-21.00_61669</v>
      </c>
    </row>
    <row r="426" spans="1:23" ht="19.7" customHeight="1" thickTop="1" thickBot="1" x14ac:dyDescent="0.3">
      <c r="A426" s="67" t="str">
        <f>Matiere_premiere[[#This Row],[NUMERO METRIQUE]]</f>
        <v>NM15</v>
      </c>
      <c r="B426" s="70" t="str">
        <f>Matiere_premiere[[#This Row],[COULEUR]]</f>
        <v>VERT PISTACHE</v>
      </c>
      <c r="C426" s="70" t="str">
        <f>Matiere_premiere[[#This Row],[CODE COLEUR]]</f>
        <v>C21</v>
      </c>
      <c r="D426" s="73" t="str">
        <f>Matiere_premiere[[#This Row],[CODE FAB]]</f>
        <v>NM15-21.01</v>
      </c>
      <c r="E426" s="76" t="e" vm="155">
        <f>_xlfn.IMAGE("https://api.qrserver.com/v1/create-qr-code/?size=100x100&amp;data=" &amp; D426)</f>
        <v>#VALUE!</v>
      </c>
      <c r="F426" s="78"/>
      <c r="G426" s="73" t="str">
        <f>Matiere_premiere[[#This Row],[Num de Lot]]</f>
        <v>S2023</v>
      </c>
      <c r="H426" s="76" t="e" vm="2">
        <f>_xlfn.IMAGE("https://api.qrserver.com/v1/create-qr-code/?size=100x100&amp;data=" &amp; G426)</f>
        <v>#VALUE!</v>
      </c>
      <c r="I426" s="80"/>
      <c r="J426" s="12" t="str">
        <f>Matiere_premiere[[#This Row],[Entrepot]]</f>
        <v>E1</v>
      </c>
      <c r="K426" s="9" t="b">
        <f>IF(Matiere_premiere[[#This Row],[INVENTAIRE]]&gt;0,TRUE,FALSE)</f>
        <v>1</v>
      </c>
      <c r="L426" s="65"/>
      <c r="M426" s="8" t="s">
        <v>103</v>
      </c>
      <c r="N426" s="8" t="s">
        <v>170</v>
      </c>
      <c r="O426" s="8" t="s">
        <v>169</v>
      </c>
      <c r="P426" s="8" t="s">
        <v>171</v>
      </c>
      <c r="Q426" s="53" t="s">
        <v>69</v>
      </c>
      <c r="R426" s="8" t="s">
        <v>75</v>
      </c>
      <c r="S426" s="7">
        <v>598.5</v>
      </c>
      <c r="T426" s="7"/>
      <c r="U426" s="7"/>
      <c r="V426" s="7">
        <f>SUM(Matiere_premiere[[#This Row],[INVENTAIRE]],-Matiere_premiere[[#This Row],[Entrée]],-Matiere_premiere[[#This Row],[Sortis]])</f>
        <v>598.5</v>
      </c>
      <c r="W426" s="50" t="str">
        <f>CONCATENATE(Matiere_premiere[[#This Row],[CODE COLEUR]],"_",Matiere_premiere[[#This Row],[COULEUR]],"_",Matiere_premiere[[#This Row],[CODE FAB]],"_",Matiere_premiere[[#This Row],[Num de Lot]])</f>
        <v>C21_VERT PISTACHE_NM15-21.01_S2023</v>
      </c>
    </row>
    <row r="427" spans="1:23" ht="19.7" customHeight="1" thickBot="1" x14ac:dyDescent="0.3">
      <c r="A427" s="68"/>
      <c r="B427" s="71"/>
      <c r="C427" s="71"/>
      <c r="D427" s="74"/>
      <c r="E427" s="76"/>
      <c r="F427" s="78"/>
      <c r="G427" s="74"/>
      <c r="H427" s="76"/>
      <c r="I427" s="80"/>
      <c r="J427" s="11" t="str">
        <f>Matiere_premiere[[#This Row],[Entrepot]]</f>
        <v>E2</v>
      </c>
      <c r="K427" s="9" t="b">
        <f>IF(Matiere_premiere[[#This Row],[INVENTAIRE]]&gt;0,TRUE,FALSE)</f>
        <v>0</v>
      </c>
      <c r="L427" s="65"/>
      <c r="M427" s="8" t="s">
        <v>103</v>
      </c>
      <c r="N427" s="8" t="s">
        <v>170</v>
      </c>
      <c r="O427" s="8" t="s">
        <v>169</v>
      </c>
      <c r="P427" s="8" t="s">
        <v>171</v>
      </c>
      <c r="Q427" s="53" t="s">
        <v>69</v>
      </c>
      <c r="R427" s="8" t="s">
        <v>74</v>
      </c>
      <c r="S427" s="7">
        <v>0</v>
      </c>
      <c r="T427" s="7"/>
      <c r="U427" s="7"/>
      <c r="V427" s="7">
        <f>SUM(Matiere_premiere[[#This Row],[INVENTAIRE]],-Matiere_premiere[[#This Row],[Entrée]],-Matiere_premiere[[#This Row],[Sortis]])</f>
        <v>0</v>
      </c>
      <c r="W427" s="50" t="str">
        <f>CONCATENATE(Matiere_premiere[[#This Row],[CODE COLEUR]],"_",Matiere_premiere[[#This Row],[COULEUR]],"_",Matiere_premiere[[#This Row],[CODE FAB]],"_",Matiere_premiere[[#This Row],[Num de Lot]])</f>
        <v>C21_VERT PISTACHE_NM15-21.01_S2023</v>
      </c>
    </row>
    <row r="428" spans="1:23" ht="19.7" customHeight="1" thickBot="1" x14ac:dyDescent="0.3">
      <c r="A428" s="68"/>
      <c r="B428" s="71"/>
      <c r="C428" s="71"/>
      <c r="D428" s="74"/>
      <c r="E428" s="76"/>
      <c r="F428" s="78"/>
      <c r="G428" s="74"/>
      <c r="H428" s="76"/>
      <c r="I428" s="80"/>
      <c r="J428" s="11" t="str">
        <f>Matiere_premiere[[#This Row],[Entrepot]]</f>
        <v>E3</v>
      </c>
      <c r="K428" s="9" t="b">
        <f>IF(Matiere_premiere[[#This Row],[INVENTAIRE]]&gt;0,TRUE,FALSE)</f>
        <v>0</v>
      </c>
      <c r="L428" s="65"/>
      <c r="M428" s="8" t="s">
        <v>103</v>
      </c>
      <c r="N428" s="8" t="s">
        <v>170</v>
      </c>
      <c r="O428" s="8" t="s">
        <v>169</v>
      </c>
      <c r="P428" s="8" t="s">
        <v>171</v>
      </c>
      <c r="Q428" s="53" t="s">
        <v>69</v>
      </c>
      <c r="R428" s="8" t="s">
        <v>73</v>
      </c>
      <c r="S428" s="7">
        <v>0</v>
      </c>
      <c r="T428" s="7"/>
      <c r="U428" s="7"/>
      <c r="V428" s="7">
        <f>SUM(Matiere_premiere[[#This Row],[INVENTAIRE]],-Matiere_premiere[[#This Row],[Entrée]],-Matiere_premiere[[#This Row],[Sortis]])</f>
        <v>0</v>
      </c>
      <c r="W428" s="50" t="str">
        <f>CONCATENATE(Matiere_premiere[[#This Row],[CODE COLEUR]],"_",Matiere_premiere[[#This Row],[COULEUR]],"_",Matiere_premiere[[#This Row],[CODE FAB]],"_",Matiere_premiere[[#This Row],[Num de Lot]])</f>
        <v>C21_VERT PISTACHE_NM15-21.01_S2023</v>
      </c>
    </row>
    <row r="429" spans="1:23" ht="19.7" customHeight="1" thickBot="1" x14ac:dyDescent="0.3">
      <c r="A429" s="69"/>
      <c r="B429" s="72"/>
      <c r="C429" s="72"/>
      <c r="D429" s="75"/>
      <c r="E429" s="77"/>
      <c r="F429" s="79"/>
      <c r="G429" s="75"/>
      <c r="H429" s="77"/>
      <c r="I429" s="81"/>
      <c r="J429" s="10" t="str">
        <f>Matiere_premiere[[#This Row],[Entrepot]]</f>
        <v>Usine</v>
      </c>
      <c r="K429" s="9" t="b">
        <f>IF(Matiere_premiere[[#This Row],[INVENTAIRE]]&gt;0,TRUE,FALSE)</f>
        <v>1</v>
      </c>
      <c r="L429" s="66"/>
      <c r="M429" s="8" t="s">
        <v>103</v>
      </c>
      <c r="N429" s="8" t="s">
        <v>170</v>
      </c>
      <c r="O429" s="8" t="s">
        <v>169</v>
      </c>
      <c r="P429" s="8" t="s">
        <v>171</v>
      </c>
      <c r="Q429" s="53" t="s">
        <v>69</v>
      </c>
      <c r="R429" s="8" t="s">
        <v>68</v>
      </c>
      <c r="S429" s="7">
        <v>229.5</v>
      </c>
      <c r="T429" s="7"/>
      <c r="U429" s="7"/>
      <c r="V429" s="7">
        <f>SUM(Matiere_premiere[[#This Row],[INVENTAIRE]],-Matiere_premiere[[#This Row],[Entrée]],-Matiere_premiere[[#This Row],[Sortis]])</f>
        <v>229.5</v>
      </c>
      <c r="W429" s="50" t="str">
        <f>CONCATENATE(Matiere_premiere[[#This Row],[CODE COLEUR]],"_",Matiere_premiere[[#This Row],[COULEUR]],"_",Matiere_premiere[[#This Row],[CODE FAB]],"_",Matiere_premiere[[#This Row],[Num de Lot]])</f>
        <v>C21_VERT PISTACHE_NM15-21.01_S2023</v>
      </c>
    </row>
    <row r="430" spans="1:23" ht="19.7" customHeight="1" thickTop="1" thickBot="1" x14ac:dyDescent="0.3">
      <c r="A430" s="67" t="str">
        <f>Matiere_premiere[[#This Row],[NUMERO METRIQUE]]</f>
        <v>NM15</v>
      </c>
      <c r="B430" s="70" t="str">
        <f>Matiere_premiere[[#This Row],[COULEUR]]</f>
        <v>VERT PISTACHE</v>
      </c>
      <c r="C430" s="70" t="str">
        <f>Matiere_premiere[[#This Row],[CODE COLEUR]]</f>
        <v>C21</v>
      </c>
      <c r="D430" s="73" t="str">
        <f>Matiere_premiere[[#This Row],[CODE FAB]]</f>
        <v>NM15-21.02</v>
      </c>
      <c r="E430" s="76" t="e" vm="156">
        <f>_xlfn.IMAGE("https://api.qrserver.com/v1/create-qr-code/?size=100x100&amp;data=" &amp; D430)</f>
        <v>#VALUE!</v>
      </c>
      <c r="F430" s="78"/>
      <c r="G430" s="73" t="str">
        <f>Matiere_premiere[[#This Row],[Num de Lot]]</f>
        <v>S2022</v>
      </c>
      <c r="H430" s="76" t="e" vm="82">
        <f>_xlfn.IMAGE("https://api.qrserver.com/v1/create-qr-code/?size=100x100&amp;data=" &amp; G430)</f>
        <v>#VALUE!</v>
      </c>
      <c r="I430" s="80"/>
      <c r="J430" s="12" t="str">
        <f>Matiere_premiere[[#This Row],[Entrepot]]</f>
        <v>E1</v>
      </c>
      <c r="K430" s="9" t="b">
        <f>IF(Matiere_premiere[[#This Row],[INVENTAIRE]]&gt;0,TRUE,FALSE)</f>
        <v>1</v>
      </c>
      <c r="L430" s="65"/>
      <c r="M430" s="13" t="s">
        <v>103</v>
      </c>
      <c r="N430" s="13" t="s">
        <v>170</v>
      </c>
      <c r="O430" s="13" t="s">
        <v>169</v>
      </c>
      <c r="P430" s="13" t="s">
        <v>168</v>
      </c>
      <c r="Q430" s="55" t="s">
        <v>107</v>
      </c>
      <c r="R430" s="13" t="s">
        <v>75</v>
      </c>
      <c r="S430" s="14">
        <v>1771</v>
      </c>
      <c r="T430" s="14"/>
      <c r="U430" s="14"/>
      <c r="V430" s="14">
        <f>SUM(Matiere_premiere[[#This Row],[INVENTAIRE]],-Matiere_premiere[[#This Row],[Entrée]],-Matiere_premiere[[#This Row],[Sortis]])</f>
        <v>1771</v>
      </c>
      <c r="W430" s="50" t="str">
        <f>CONCATENATE(Matiere_premiere[[#This Row],[CODE COLEUR]],"_",Matiere_premiere[[#This Row],[COULEUR]],"_",Matiere_premiere[[#This Row],[CODE FAB]],"_",Matiere_premiere[[#This Row],[Num de Lot]])</f>
        <v>C21_VERT PISTACHE_NM15-21.02_S2022</v>
      </c>
    </row>
    <row r="431" spans="1:23" ht="19.7" customHeight="1" thickBot="1" x14ac:dyDescent="0.3">
      <c r="A431" s="68"/>
      <c r="B431" s="71"/>
      <c r="C431" s="71"/>
      <c r="D431" s="74"/>
      <c r="E431" s="76"/>
      <c r="F431" s="78"/>
      <c r="G431" s="74"/>
      <c r="H431" s="76"/>
      <c r="I431" s="80"/>
      <c r="J431" s="11" t="str">
        <f>Matiere_premiere[[#This Row],[Entrepot]]</f>
        <v>E2</v>
      </c>
      <c r="K431" s="9" t="b">
        <f>IF(Matiere_premiere[[#This Row],[INVENTAIRE]]&gt;0,TRUE,FALSE)</f>
        <v>0</v>
      </c>
      <c r="L431" s="65"/>
      <c r="M431" s="13" t="s">
        <v>103</v>
      </c>
      <c r="N431" s="13" t="s">
        <v>170</v>
      </c>
      <c r="O431" s="13" t="s">
        <v>169</v>
      </c>
      <c r="P431" s="13" t="s">
        <v>168</v>
      </c>
      <c r="Q431" s="55" t="s">
        <v>107</v>
      </c>
      <c r="R431" s="13" t="s">
        <v>74</v>
      </c>
      <c r="S431" s="14">
        <v>0</v>
      </c>
      <c r="T431" s="14"/>
      <c r="U431" s="14"/>
      <c r="V431" s="14">
        <f>SUM(Matiere_premiere[[#This Row],[INVENTAIRE]],-Matiere_premiere[[#This Row],[Entrée]],-Matiere_premiere[[#This Row],[Sortis]])</f>
        <v>0</v>
      </c>
      <c r="W431" s="50" t="str">
        <f>CONCATENATE(Matiere_premiere[[#This Row],[CODE COLEUR]],"_",Matiere_premiere[[#This Row],[COULEUR]],"_",Matiere_premiere[[#This Row],[CODE FAB]],"_",Matiere_premiere[[#This Row],[Num de Lot]])</f>
        <v>C21_VERT PISTACHE_NM15-21.02_S2022</v>
      </c>
    </row>
    <row r="432" spans="1:23" ht="19.7" customHeight="1" thickBot="1" x14ac:dyDescent="0.3">
      <c r="A432" s="68"/>
      <c r="B432" s="71"/>
      <c r="C432" s="71"/>
      <c r="D432" s="74"/>
      <c r="E432" s="76"/>
      <c r="F432" s="78"/>
      <c r="G432" s="74"/>
      <c r="H432" s="76"/>
      <c r="I432" s="80"/>
      <c r="J432" s="11" t="str">
        <f>Matiere_premiere[[#This Row],[Entrepot]]</f>
        <v>E3</v>
      </c>
      <c r="K432" s="9" t="b">
        <f>IF(Matiere_premiere[[#This Row],[INVENTAIRE]]&gt;0,TRUE,FALSE)</f>
        <v>0</v>
      </c>
      <c r="L432" s="65"/>
      <c r="M432" s="13" t="s">
        <v>103</v>
      </c>
      <c r="N432" s="13" t="s">
        <v>170</v>
      </c>
      <c r="O432" s="13" t="s">
        <v>169</v>
      </c>
      <c r="P432" s="13" t="s">
        <v>168</v>
      </c>
      <c r="Q432" s="55" t="s">
        <v>107</v>
      </c>
      <c r="R432" s="13" t="s">
        <v>73</v>
      </c>
      <c r="S432" s="14">
        <v>0</v>
      </c>
      <c r="T432" s="14"/>
      <c r="U432" s="14"/>
      <c r="V432" s="14">
        <f>SUM(Matiere_premiere[[#This Row],[INVENTAIRE]],-Matiere_premiere[[#This Row],[Entrée]],-Matiere_premiere[[#This Row],[Sortis]])</f>
        <v>0</v>
      </c>
      <c r="W432" s="50" t="str">
        <f>CONCATENATE(Matiere_premiere[[#This Row],[CODE COLEUR]],"_",Matiere_premiere[[#This Row],[COULEUR]],"_",Matiere_premiere[[#This Row],[CODE FAB]],"_",Matiere_premiere[[#This Row],[Num de Lot]])</f>
        <v>C21_VERT PISTACHE_NM15-21.02_S2022</v>
      </c>
    </row>
    <row r="433" spans="1:23" ht="19.7" customHeight="1" thickBot="1" x14ac:dyDescent="0.3">
      <c r="A433" s="69"/>
      <c r="B433" s="72"/>
      <c r="C433" s="72"/>
      <c r="D433" s="75"/>
      <c r="E433" s="77"/>
      <c r="F433" s="79"/>
      <c r="G433" s="75"/>
      <c r="H433" s="77"/>
      <c r="I433" s="81"/>
      <c r="J433" s="10" t="str">
        <f>Matiere_premiere[[#This Row],[Entrepot]]</f>
        <v>Usine</v>
      </c>
      <c r="K433" s="9" t="b">
        <f>IF(Matiere_premiere[[#This Row],[INVENTAIRE]]&gt;0,TRUE,FALSE)</f>
        <v>0</v>
      </c>
      <c r="L433" s="66"/>
      <c r="M433" s="13" t="s">
        <v>103</v>
      </c>
      <c r="N433" s="13" t="s">
        <v>170</v>
      </c>
      <c r="O433" s="13" t="s">
        <v>169</v>
      </c>
      <c r="P433" s="13" t="s">
        <v>168</v>
      </c>
      <c r="Q433" s="55" t="s">
        <v>107</v>
      </c>
      <c r="R433" s="13" t="s">
        <v>68</v>
      </c>
      <c r="S433" s="14">
        <v>0</v>
      </c>
      <c r="T433" s="14"/>
      <c r="U433" s="14"/>
      <c r="V433" s="14">
        <f>SUM(Matiere_premiere[[#This Row],[INVENTAIRE]],-Matiere_premiere[[#This Row],[Entrée]],-Matiere_premiere[[#This Row],[Sortis]])</f>
        <v>0</v>
      </c>
      <c r="W433" s="50" t="str">
        <f>CONCATENATE(Matiere_premiere[[#This Row],[CODE COLEUR]],"_",Matiere_premiere[[#This Row],[COULEUR]],"_",Matiere_premiere[[#This Row],[CODE FAB]],"_",Matiere_premiere[[#This Row],[Num de Lot]])</f>
        <v>C21_VERT PISTACHE_NM15-21.02_S2022</v>
      </c>
    </row>
    <row r="434" spans="1:23" ht="19.7" customHeight="1" thickTop="1" thickBot="1" x14ac:dyDescent="0.3">
      <c r="A434" s="67" t="str">
        <f>Matiere_premiere[[#This Row],[NUMERO METRIQUE]]</f>
        <v>NM15</v>
      </c>
      <c r="B434" s="70" t="str">
        <f>Matiere_premiere[[#This Row],[COULEUR]]</f>
        <v>JAUNE FLUO</v>
      </c>
      <c r="C434" s="70" t="str">
        <f>Matiere_premiere[[#This Row],[CODE COLEUR]]</f>
        <v>C22</v>
      </c>
      <c r="D434" s="73" t="str">
        <f>Matiere_premiere[[#This Row],[CODE FAB]]</f>
        <v>NM15-22.00</v>
      </c>
      <c r="E434" s="76" t="e" vm="157">
        <f>_xlfn.IMAGE("https://api.qrserver.com/v1/create-qr-code/?size=100x100&amp;data=" &amp; D434)</f>
        <v>#VALUE!</v>
      </c>
      <c r="F434" s="78"/>
      <c r="G434" s="73">
        <f>Matiere_premiere[[#This Row],[Num de Lot]]</f>
        <v>61540</v>
      </c>
      <c r="H434" s="76" t="e" vm="158">
        <f>_xlfn.IMAGE("https://api.qrserver.com/v1/create-qr-code/?size=100x100&amp;data=" &amp; G434)</f>
        <v>#VALUE!</v>
      </c>
      <c r="I434" s="80"/>
      <c r="J434" s="12" t="str">
        <f>Matiere_premiere[[#This Row],[Entrepot]]</f>
        <v>E1</v>
      </c>
      <c r="K434" s="9" t="b">
        <f>IF(Matiere_premiere[[#This Row],[INVENTAIRE]]&gt;0,TRUE,FALSE)</f>
        <v>1</v>
      </c>
      <c r="L434" s="65"/>
      <c r="M434" s="8" t="s">
        <v>103</v>
      </c>
      <c r="N434" s="8" t="s">
        <v>167</v>
      </c>
      <c r="O434" s="8" t="s">
        <v>163</v>
      </c>
      <c r="P434" s="8" t="s">
        <v>166</v>
      </c>
      <c r="Q434" s="53">
        <v>61540</v>
      </c>
      <c r="R434" s="8" t="s">
        <v>75</v>
      </c>
      <c r="S434" s="7">
        <v>1634.5</v>
      </c>
      <c r="T434" s="7"/>
      <c r="U434" s="7"/>
      <c r="V434" s="7">
        <f>SUM(Matiere_premiere[[#This Row],[INVENTAIRE]],-Matiere_premiere[[#This Row],[Entrée]],-Matiere_premiere[[#This Row],[Sortis]])</f>
        <v>1634.5</v>
      </c>
      <c r="W434" s="50" t="str">
        <f>CONCATENATE(Matiere_premiere[[#This Row],[CODE COLEUR]],"_",Matiere_premiere[[#This Row],[COULEUR]],"_",Matiere_premiere[[#This Row],[CODE FAB]],"_",Matiere_premiere[[#This Row],[Num de Lot]])</f>
        <v>C22_JAUNE FLUO_NM15-22.00_61540</v>
      </c>
    </row>
    <row r="435" spans="1:23" ht="19.7" customHeight="1" thickBot="1" x14ac:dyDescent="0.3">
      <c r="A435" s="68"/>
      <c r="B435" s="71"/>
      <c r="C435" s="71"/>
      <c r="D435" s="74"/>
      <c r="E435" s="76"/>
      <c r="F435" s="78"/>
      <c r="G435" s="74"/>
      <c r="H435" s="76"/>
      <c r="I435" s="80"/>
      <c r="J435" s="11" t="str">
        <f>Matiere_premiere[[#This Row],[Entrepot]]</f>
        <v>E2</v>
      </c>
      <c r="K435" s="9" t="b">
        <f>IF(Matiere_premiere[[#This Row],[INVENTAIRE]]&gt;0,TRUE,FALSE)</f>
        <v>0</v>
      </c>
      <c r="L435" s="65"/>
      <c r="M435" s="8" t="s">
        <v>103</v>
      </c>
      <c r="N435" s="8" t="s">
        <v>167</v>
      </c>
      <c r="O435" s="8" t="s">
        <v>163</v>
      </c>
      <c r="P435" s="8" t="s">
        <v>166</v>
      </c>
      <c r="Q435" s="53">
        <v>61540</v>
      </c>
      <c r="R435" s="8" t="s">
        <v>74</v>
      </c>
      <c r="S435" s="7">
        <v>0</v>
      </c>
      <c r="T435" s="7"/>
      <c r="U435" s="7"/>
      <c r="V435" s="7">
        <f>SUM(Matiere_premiere[[#This Row],[INVENTAIRE]],-Matiere_premiere[[#This Row],[Entrée]],-Matiere_premiere[[#This Row],[Sortis]])</f>
        <v>0</v>
      </c>
      <c r="W435" s="50" t="str">
        <f>CONCATENATE(Matiere_premiere[[#This Row],[CODE COLEUR]],"_",Matiere_premiere[[#This Row],[COULEUR]],"_",Matiere_premiere[[#This Row],[CODE FAB]],"_",Matiere_premiere[[#This Row],[Num de Lot]])</f>
        <v>C22_JAUNE FLUO_NM15-22.00_61540</v>
      </c>
    </row>
    <row r="436" spans="1:23" ht="19.7" customHeight="1" thickBot="1" x14ac:dyDescent="0.3">
      <c r="A436" s="68"/>
      <c r="B436" s="71"/>
      <c r="C436" s="71"/>
      <c r="D436" s="74"/>
      <c r="E436" s="76"/>
      <c r="F436" s="78"/>
      <c r="G436" s="74"/>
      <c r="H436" s="76"/>
      <c r="I436" s="80"/>
      <c r="J436" s="11" t="str">
        <f>Matiere_premiere[[#This Row],[Entrepot]]</f>
        <v>E3</v>
      </c>
      <c r="K436" s="9" t="b">
        <f>IF(Matiere_premiere[[#This Row],[INVENTAIRE]]&gt;0,TRUE,FALSE)</f>
        <v>0</v>
      </c>
      <c r="L436" s="65"/>
      <c r="M436" s="8" t="s">
        <v>103</v>
      </c>
      <c r="N436" s="8" t="s">
        <v>167</v>
      </c>
      <c r="O436" s="8" t="s">
        <v>163</v>
      </c>
      <c r="P436" s="8" t="s">
        <v>166</v>
      </c>
      <c r="Q436" s="53">
        <v>61540</v>
      </c>
      <c r="R436" s="8" t="s">
        <v>73</v>
      </c>
      <c r="S436" s="7">
        <v>0</v>
      </c>
      <c r="T436" s="7"/>
      <c r="U436" s="7"/>
      <c r="V436" s="7">
        <f>SUM(Matiere_premiere[[#This Row],[INVENTAIRE]],-Matiere_premiere[[#This Row],[Entrée]],-Matiere_premiere[[#This Row],[Sortis]])</f>
        <v>0</v>
      </c>
      <c r="W436" s="50" t="str">
        <f>CONCATENATE(Matiere_premiere[[#This Row],[CODE COLEUR]],"_",Matiere_premiere[[#This Row],[COULEUR]],"_",Matiere_premiere[[#This Row],[CODE FAB]],"_",Matiere_premiere[[#This Row],[Num de Lot]])</f>
        <v>C22_JAUNE FLUO_NM15-22.00_61540</v>
      </c>
    </row>
    <row r="437" spans="1:23" ht="19.7" customHeight="1" thickBot="1" x14ac:dyDescent="0.3">
      <c r="A437" s="69"/>
      <c r="B437" s="72"/>
      <c r="C437" s="72"/>
      <c r="D437" s="75"/>
      <c r="E437" s="77"/>
      <c r="F437" s="79"/>
      <c r="G437" s="75"/>
      <c r="H437" s="77"/>
      <c r="I437" s="81"/>
      <c r="J437" s="10" t="str">
        <f>Matiere_premiere[[#This Row],[Entrepot]]</f>
        <v>Usine</v>
      </c>
      <c r="K437" s="9" t="b">
        <f>IF(Matiere_premiere[[#This Row],[INVENTAIRE]]&gt;0,TRUE,FALSE)</f>
        <v>1</v>
      </c>
      <c r="L437" s="66"/>
      <c r="M437" s="8" t="s">
        <v>103</v>
      </c>
      <c r="N437" s="8" t="s">
        <v>167</v>
      </c>
      <c r="O437" s="8" t="s">
        <v>163</v>
      </c>
      <c r="P437" s="8" t="s">
        <v>166</v>
      </c>
      <c r="Q437" s="53">
        <v>61540</v>
      </c>
      <c r="R437" s="8" t="s">
        <v>68</v>
      </c>
      <c r="S437" s="7">
        <v>211.2</v>
      </c>
      <c r="T437" s="7"/>
      <c r="U437" s="7"/>
      <c r="V437" s="7">
        <f>SUM(Matiere_premiere[[#This Row],[INVENTAIRE]],-Matiere_premiere[[#This Row],[Entrée]],-Matiere_premiere[[#This Row],[Sortis]])</f>
        <v>211.2</v>
      </c>
      <c r="W437" s="50" t="str">
        <f>CONCATENATE(Matiere_premiere[[#This Row],[CODE COLEUR]],"_",Matiere_premiere[[#This Row],[COULEUR]],"_",Matiere_premiere[[#This Row],[CODE FAB]],"_",Matiere_premiere[[#This Row],[Num de Lot]])</f>
        <v>C22_JAUNE FLUO_NM15-22.00_61540</v>
      </c>
    </row>
    <row r="438" spans="1:23" ht="19.7" customHeight="1" thickTop="1" thickBot="1" x14ac:dyDescent="0.3">
      <c r="A438" s="67" t="str">
        <f>Matiere_premiere[[#This Row],[NUMERO METRIQUE]]</f>
        <v>NM15</v>
      </c>
      <c r="B438" s="70" t="str">
        <f>Matiere_premiere[[#This Row],[COULEUR]]</f>
        <v>JAUNE CITRON</v>
      </c>
      <c r="C438" s="70" t="str">
        <f>Matiere_premiere[[#This Row],[CODE COLEUR]]</f>
        <v>C22</v>
      </c>
      <c r="D438" s="73" t="str">
        <f>Matiere_premiere[[#This Row],[CODE FAB]]</f>
        <v>NM15-22.01</v>
      </c>
      <c r="E438" s="76" t="e" vm="159">
        <f>_xlfn.IMAGE("https://api.qrserver.com/v1/create-qr-code/?size=100x100&amp;data=" &amp; D438)</f>
        <v>#VALUE!</v>
      </c>
      <c r="F438" s="78"/>
      <c r="G438" s="73" t="str">
        <f>Matiere_premiere[[#This Row],[Num de Lot]]</f>
        <v>S2023</v>
      </c>
      <c r="H438" s="76" t="e" vm="2">
        <f>_xlfn.IMAGE("https://api.qrserver.com/v1/create-qr-code/?size=100x100&amp;data=" &amp; G438)</f>
        <v>#VALUE!</v>
      </c>
      <c r="I438" s="80"/>
      <c r="J438" s="12" t="str">
        <f>Matiere_premiere[[#This Row],[Entrepot]]</f>
        <v>E1</v>
      </c>
      <c r="K438" s="9" t="b">
        <f>IF(Matiere_premiere[[#This Row],[INVENTAIRE]]&gt;0,TRUE,FALSE)</f>
        <v>1</v>
      </c>
      <c r="L438" s="65"/>
      <c r="M438" s="13" t="s">
        <v>103</v>
      </c>
      <c r="N438" s="13" t="s">
        <v>164</v>
      </c>
      <c r="O438" s="13" t="s">
        <v>163</v>
      </c>
      <c r="P438" s="13" t="s">
        <v>165</v>
      </c>
      <c r="Q438" s="55" t="s">
        <v>69</v>
      </c>
      <c r="R438" s="13" t="s">
        <v>75</v>
      </c>
      <c r="S438" s="14">
        <v>994</v>
      </c>
      <c r="T438" s="14"/>
      <c r="U438" s="14"/>
      <c r="V438" s="14">
        <f>SUM(Matiere_premiere[[#This Row],[INVENTAIRE]],-Matiere_premiere[[#This Row],[Entrée]],-Matiere_premiere[[#This Row],[Sortis]])</f>
        <v>994</v>
      </c>
      <c r="W438" s="50" t="str">
        <f>CONCATENATE(Matiere_premiere[[#This Row],[CODE COLEUR]],"_",Matiere_premiere[[#This Row],[COULEUR]],"_",Matiere_premiere[[#This Row],[CODE FAB]],"_",Matiere_premiere[[#This Row],[Num de Lot]])</f>
        <v>C22_JAUNE CITRON_NM15-22.01_S2023</v>
      </c>
    </row>
    <row r="439" spans="1:23" ht="19.7" customHeight="1" thickBot="1" x14ac:dyDescent="0.3">
      <c r="A439" s="68"/>
      <c r="B439" s="71"/>
      <c r="C439" s="71"/>
      <c r="D439" s="74"/>
      <c r="E439" s="76"/>
      <c r="F439" s="78"/>
      <c r="G439" s="74"/>
      <c r="H439" s="76"/>
      <c r="I439" s="80"/>
      <c r="J439" s="11" t="str">
        <f>Matiere_premiere[[#This Row],[Entrepot]]</f>
        <v>E2</v>
      </c>
      <c r="K439" s="9" t="b">
        <f>IF(Matiere_premiere[[#This Row],[INVENTAIRE]]&gt;0,TRUE,FALSE)</f>
        <v>0</v>
      </c>
      <c r="L439" s="65"/>
      <c r="M439" s="18" t="s">
        <v>103</v>
      </c>
      <c r="N439" s="18" t="s">
        <v>164</v>
      </c>
      <c r="O439" s="18" t="s">
        <v>163</v>
      </c>
      <c r="P439" s="18" t="s">
        <v>165</v>
      </c>
      <c r="Q439" s="57" t="s">
        <v>69</v>
      </c>
      <c r="R439" s="13" t="s">
        <v>74</v>
      </c>
      <c r="S439" s="14">
        <v>0</v>
      </c>
      <c r="T439" s="17"/>
      <c r="U439" s="14"/>
      <c r="V439" s="14">
        <f>SUM(Matiere_premiere[[#This Row],[INVENTAIRE]],-Matiere_premiere[[#This Row],[Entrée]],-Matiere_premiere[[#This Row],[Sortis]])</f>
        <v>0</v>
      </c>
      <c r="W439" s="50" t="str">
        <f>CONCATENATE(Matiere_premiere[[#This Row],[CODE COLEUR]],"_",Matiere_premiere[[#This Row],[COULEUR]],"_",Matiere_premiere[[#This Row],[CODE FAB]],"_",Matiere_premiere[[#This Row],[Num de Lot]])</f>
        <v>C22_JAUNE CITRON_NM15-22.01_S2023</v>
      </c>
    </row>
    <row r="440" spans="1:23" ht="19.7" customHeight="1" thickBot="1" x14ac:dyDescent="0.3">
      <c r="A440" s="68"/>
      <c r="B440" s="71"/>
      <c r="C440" s="71"/>
      <c r="D440" s="74"/>
      <c r="E440" s="76"/>
      <c r="F440" s="78"/>
      <c r="G440" s="74"/>
      <c r="H440" s="76"/>
      <c r="I440" s="80"/>
      <c r="J440" s="11" t="str">
        <f>Matiere_premiere[[#This Row],[Entrepot]]</f>
        <v>E3</v>
      </c>
      <c r="K440" s="9" t="b">
        <f>IF(Matiere_premiere[[#This Row],[INVENTAIRE]]&gt;0,TRUE,FALSE)</f>
        <v>0</v>
      </c>
      <c r="L440" s="65"/>
      <c r="M440" s="13" t="s">
        <v>103</v>
      </c>
      <c r="N440" s="13" t="s">
        <v>164</v>
      </c>
      <c r="O440" s="13" t="s">
        <v>163</v>
      </c>
      <c r="P440" s="13" t="s">
        <v>165</v>
      </c>
      <c r="Q440" s="55" t="s">
        <v>69</v>
      </c>
      <c r="R440" s="13" t="s">
        <v>73</v>
      </c>
      <c r="S440" s="14">
        <v>0</v>
      </c>
      <c r="T440" s="14"/>
      <c r="U440" s="14"/>
      <c r="V440" s="14">
        <f>SUM(Matiere_premiere[[#This Row],[INVENTAIRE]],-Matiere_premiere[[#This Row],[Entrée]],-Matiere_premiere[[#This Row],[Sortis]])</f>
        <v>0</v>
      </c>
      <c r="W440" s="50" t="str">
        <f>CONCATENATE(Matiere_premiere[[#This Row],[CODE COLEUR]],"_",Matiere_premiere[[#This Row],[COULEUR]],"_",Matiere_premiere[[#This Row],[CODE FAB]],"_",Matiere_premiere[[#This Row],[Num de Lot]])</f>
        <v>C22_JAUNE CITRON_NM15-22.01_S2023</v>
      </c>
    </row>
    <row r="441" spans="1:23" ht="19.7" customHeight="1" thickBot="1" x14ac:dyDescent="0.3">
      <c r="A441" s="69"/>
      <c r="B441" s="72"/>
      <c r="C441" s="72"/>
      <c r="D441" s="75"/>
      <c r="E441" s="77"/>
      <c r="F441" s="79"/>
      <c r="G441" s="75"/>
      <c r="H441" s="77"/>
      <c r="I441" s="81"/>
      <c r="J441" s="10" t="str">
        <f>Matiere_premiere[[#This Row],[Entrepot]]</f>
        <v>Usine</v>
      </c>
      <c r="K441" s="9" t="b">
        <f>IF(Matiere_premiere[[#This Row],[INVENTAIRE]]&gt;0,TRUE,FALSE)</f>
        <v>1</v>
      </c>
      <c r="L441" s="66"/>
      <c r="M441" s="13" t="s">
        <v>103</v>
      </c>
      <c r="N441" s="13" t="s">
        <v>164</v>
      </c>
      <c r="O441" s="13" t="s">
        <v>163</v>
      </c>
      <c r="P441" s="13" t="s">
        <v>165</v>
      </c>
      <c r="Q441" s="55" t="s">
        <v>69</v>
      </c>
      <c r="R441" s="13" t="s">
        <v>68</v>
      </c>
      <c r="S441" s="14">
        <v>346.5</v>
      </c>
      <c r="T441" s="14"/>
      <c r="U441" s="14"/>
      <c r="V441" s="14">
        <f>SUM(Matiere_premiere[[#This Row],[INVENTAIRE]],-Matiere_premiere[[#This Row],[Entrée]],-Matiere_premiere[[#This Row],[Sortis]])</f>
        <v>346.5</v>
      </c>
      <c r="W441" s="50" t="str">
        <f>CONCATENATE(Matiere_premiere[[#This Row],[CODE COLEUR]],"_",Matiere_premiere[[#This Row],[COULEUR]],"_",Matiere_premiere[[#This Row],[CODE FAB]],"_",Matiere_premiere[[#This Row],[Num de Lot]])</f>
        <v>C22_JAUNE CITRON_NM15-22.01_S2023</v>
      </c>
    </row>
    <row r="442" spans="1:23" ht="19.7" customHeight="1" thickTop="1" thickBot="1" x14ac:dyDescent="0.3">
      <c r="A442" s="67" t="str">
        <f>Matiere_premiere[[#This Row],[NUMERO METRIQUE]]</f>
        <v>NM20</v>
      </c>
      <c r="B442" s="70" t="str">
        <f>Matiere_premiere[[#This Row],[COULEUR]]</f>
        <v>JAUNE CITRON</v>
      </c>
      <c r="C442" s="70" t="str">
        <f>Matiere_premiere[[#This Row],[CODE COLEUR]]</f>
        <v>C22</v>
      </c>
      <c r="D442" s="73" t="str">
        <f>Matiere_premiere[[#This Row],[CODE FAB]]</f>
        <v>NM20-22.01</v>
      </c>
      <c r="E442" s="76" t="e" vm="160">
        <f>_xlfn.IMAGE("https://api.qrserver.com/v1/create-qr-code/?size=100x100&amp;data=" &amp; D442)</f>
        <v>#VALUE!</v>
      </c>
      <c r="F442" s="78"/>
      <c r="G442" s="73" t="str">
        <f>Matiere_premiere[[#This Row],[Num de Lot]]</f>
        <v>S2022</v>
      </c>
      <c r="H442" s="76" t="e" vm="82">
        <f>_xlfn.IMAGE("https://api.qrserver.com/v1/create-qr-code/?size=100x100&amp;data=" &amp; G442)</f>
        <v>#VALUE!</v>
      </c>
      <c r="I442" s="80"/>
      <c r="J442" s="12" t="str">
        <f>Matiere_premiere[[#This Row],[Entrepot]]</f>
        <v>E1</v>
      </c>
      <c r="K442" s="9" t="b">
        <f>IF(Matiere_premiere[[#This Row],[INVENTAIRE]]&gt;0,TRUE,FALSE)</f>
        <v>1</v>
      </c>
      <c r="L442" s="65"/>
      <c r="M442" s="8" t="s">
        <v>82</v>
      </c>
      <c r="N442" s="8" t="s">
        <v>164</v>
      </c>
      <c r="O442" s="8" t="s">
        <v>163</v>
      </c>
      <c r="P442" s="8" t="s">
        <v>162</v>
      </c>
      <c r="Q442" s="53" t="s">
        <v>107</v>
      </c>
      <c r="R442" s="8" t="s">
        <v>75</v>
      </c>
      <c r="S442" s="7">
        <v>46</v>
      </c>
      <c r="T442" s="7"/>
      <c r="U442" s="7"/>
      <c r="V442" s="7">
        <f>SUM(Matiere_premiere[[#This Row],[INVENTAIRE]],-Matiere_premiere[[#This Row],[Entrée]],-Matiere_premiere[[#This Row],[Sortis]])</f>
        <v>46</v>
      </c>
      <c r="W442" s="50" t="str">
        <f>CONCATENATE(Matiere_premiere[[#This Row],[CODE COLEUR]],"_",Matiere_premiere[[#This Row],[COULEUR]],"_",Matiere_premiere[[#This Row],[CODE FAB]],"_",Matiere_premiere[[#This Row],[Num de Lot]])</f>
        <v>C22_JAUNE CITRON_NM20-22.01_S2022</v>
      </c>
    </row>
    <row r="443" spans="1:23" ht="19.7" customHeight="1" thickBot="1" x14ac:dyDescent="0.3">
      <c r="A443" s="68"/>
      <c r="B443" s="71"/>
      <c r="C443" s="71"/>
      <c r="D443" s="74"/>
      <c r="E443" s="76"/>
      <c r="F443" s="78"/>
      <c r="G443" s="74"/>
      <c r="H443" s="76"/>
      <c r="I443" s="80"/>
      <c r="J443" s="11" t="str">
        <f>Matiere_premiere[[#This Row],[Entrepot]]</f>
        <v>E2</v>
      </c>
      <c r="K443" s="9" t="b">
        <f>IF(Matiere_premiere[[#This Row],[INVENTAIRE]]&gt;0,TRUE,FALSE)</f>
        <v>0</v>
      </c>
      <c r="L443" s="65"/>
      <c r="M443" s="6" t="s">
        <v>82</v>
      </c>
      <c r="N443" s="6" t="s">
        <v>164</v>
      </c>
      <c r="O443" s="6" t="s">
        <v>163</v>
      </c>
      <c r="P443" s="6" t="s">
        <v>162</v>
      </c>
      <c r="Q443" s="53" t="s">
        <v>107</v>
      </c>
      <c r="R443" s="8" t="s">
        <v>74</v>
      </c>
      <c r="S443" s="7">
        <v>0</v>
      </c>
      <c r="T443" s="7"/>
      <c r="U443" s="7"/>
      <c r="V443" s="7">
        <f>SUM(Matiere_premiere[[#This Row],[INVENTAIRE]],-Matiere_premiere[[#This Row],[Entrée]],-Matiere_premiere[[#This Row],[Sortis]])</f>
        <v>0</v>
      </c>
      <c r="W443" s="50" t="str">
        <f>CONCATENATE(Matiere_premiere[[#This Row],[CODE COLEUR]],"_",Matiere_premiere[[#This Row],[COULEUR]],"_",Matiere_premiere[[#This Row],[CODE FAB]],"_",Matiere_premiere[[#This Row],[Num de Lot]])</f>
        <v>C22_JAUNE CITRON_NM20-22.01_S2022</v>
      </c>
    </row>
    <row r="444" spans="1:23" ht="19.7" customHeight="1" thickBot="1" x14ac:dyDescent="0.3">
      <c r="A444" s="68"/>
      <c r="B444" s="71"/>
      <c r="C444" s="71"/>
      <c r="D444" s="74"/>
      <c r="E444" s="76"/>
      <c r="F444" s="78"/>
      <c r="G444" s="74"/>
      <c r="H444" s="76"/>
      <c r="I444" s="80"/>
      <c r="J444" s="11" t="str">
        <f>Matiere_premiere[[#This Row],[Entrepot]]</f>
        <v>E3</v>
      </c>
      <c r="K444" s="9" t="b">
        <f>IF(Matiere_premiere[[#This Row],[INVENTAIRE]]&gt;0,TRUE,FALSE)</f>
        <v>0</v>
      </c>
      <c r="L444" s="65"/>
      <c r="M444" s="8" t="s">
        <v>82</v>
      </c>
      <c r="N444" s="8" t="s">
        <v>164</v>
      </c>
      <c r="O444" s="8" t="s">
        <v>163</v>
      </c>
      <c r="P444" s="8" t="s">
        <v>162</v>
      </c>
      <c r="Q444" s="53" t="s">
        <v>107</v>
      </c>
      <c r="R444" s="8" t="s">
        <v>73</v>
      </c>
      <c r="S444" s="7">
        <v>0</v>
      </c>
      <c r="T444" s="7"/>
      <c r="U444" s="7"/>
      <c r="V444" s="7">
        <f>SUM(Matiere_premiere[[#This Row],[INVENTAIRE]],-Matiere_premiere[[#This Row],[Entrée]],-Matiere_premiere[[#This Row],[Sortis]])</f>
        <v>0</v>
      </c>
      <c r="W444" s="50" t="str">
        <f>CONCATENATE(Matiere_premiere[[#This Row],[CODE COLEUR]],"_",Matiere_premiere[[#This Row],[COULEUR]],"_",Matiere_premiere[[#This Row],[CODE FAB]],"_",Matiere_premiere[[#This Row],[Num de Lot]])</f>
        <v>C22_JAUNE CITRON_NM20-22.01_S2022</v>
      </c>
    </row>
    <row r="445" spans="1:23" ht="19.7" customHeight="1" thickBot="1" x14ac:dyDescent="0.3">
      <c r="A445" s="69"/>
      <c r="B445" s="72"/>
      <c r="C445" s="72"/>
      <c r="D445" s="75"/>
      <c r="E445" s="77"/>
      <c r="F445" s="79"/>
      <c r="G445" s="75"/>
      <c r="H445" s="77"/>
      <c r="I445" s="81"/>
      <c r="J445" s="10" t="str">
        <f>Matiere_premiere[[#This Row],[Entrepot]]</f>
        <v>Usine</v>
      </c>
      <c r="K445" s="9" t="b">
        <f>IF(Matiere_premiere[[#This Row],[INVENTAIRE]]&gt;0,TRUE,FALSE)</f>
        <v>0</v>
      </c>
      <c r="L445" s="66"/>
      <c r="M445" s="8" t="s">
        <v>82</v>
      </c>
      <c r="N445" s="8" t="s">
        <v>164</v>
      </c>
      <c r="O445" s="8" t="s">
        <v>163</v>
      </c>
      <c r="P445" s="8" t="s">
        <v>162</v>
      </c>
      <c r="Q445" s="53" t="s">
        <v>107</v>
      </c>
      <c r="R445" s="8" t="s">
        <v>68</v>
      </c>
      <c r="S445" s="7">
        <v>0</v>
      </c>
      <c r="T445" s="7"/>
      <c r="U445" s="7"/>
      <c r="V445" s="7">
        <f>SUM(Matiere_premiere[[#This Row],[INVENTAIRE]],-Matiere_premiere[[#This Row],[Entrée]],-Matiere_premiere[[#This Row],[Sortis]])</f>
        <v>0</v>
      </c>
      <c r="W445" s="50" t="str">
        <f>CONCATENATE(Matiere_premiere[[#This Row],[CODE COLEUR]],"_",Matiere_premiere[[#This Row],[COULEUR]],"_",Matiere_premiere[[#This Row],[CODE FAB]],"_",Matiere_premiere[[#This Row],[Num de Lot]])</f>
        <v>C22_JAUNE CITRON_NM20-22.01_S2022</v>
      </c>
    </row>
    <row r="446" spans="1:23" ht="19.7" customHeight="1" thickTop="1" thickBot="1" x14ac:dyDescent="0.3">
      <c r="A446" s="67" t="str">
        <f>Matiere_premiere[[#This Row],[NUMERO METRIQUE]]</f>
        <v>NM15</v>
      </c>
      <c r="B446" s="70" t="str">
        <f>Matiere_premiere[[#This Row],[COULEUR]]</f>
        <v>OR</v>
      </c>
      <c r="C446" s="70" t="str">
        <f>Matiere_premiere[[#This Row],[CODE COLEUR]]</f>
        <v>C23</v>
      </c>
      <c r="D446" s="73" t="str">
        <f>Matiere_premiere[[#This Row],[CODE FAB]]</f>
        <v>NM15-23.00</v>
      </c>
      <c r="E446" s="76" t="e" vm="161">
        <f>_xlfn.IMAGE("https://api.qrserver.com/v1/create-qr-code/?size=100x100&amp;data=" &amp; D446)</f>
        <v>#VALUE!</v>
      </c>
      <c r="F446" s="78"/>
      <c r="G446" s="73">
        <f>Matiere_premiere[[#This Row],[Num de Lot]]</f>
        <v>61566</v>
      </c>
      <c r="H446" s="76" t="e" vm="162">
        <f>_xlfn.IMAGE("https://api.qrserver.com/v1/create-qr-code/?size=100x100&amp;data=" &amp; G446)</f>
        <v>#VALUE!</v>
      </c>
      <c r="I446" s="80"/>
      <c r="J446" s="12" t="str">
        <f>Matiere_premiere[[#This Row],[Entrepot]]</f>
        <v>E1</v>
      </c>
      <c r="K446" s="9" t="b">
        <f>IF(Matiere_premiere[[#This Row],[INVENTAIRE]]&gt;0,TRUE,FALSE)</f>
        <v>1</v>
      </c>
      <c r="L446" s="65"/>
      <c r="M446" s="13" t="s">
        <v>103</v>
      </c>
      <c r="N446" s="13" t="s">
        <v>161</v>
      </c>
      <c r="O446" s="13" t="s">
        <v>158</v>
      </c>
      <c r="P446" s="13" t="s">
        <v>160</v>
      </c>
      <c r="Q446" s="55">
        <v>61566</v>
      </c>
      <c r="R446" s="13" t="s">
        <v>75</v>
      </c>
      <c r="S446" s="14">
        <v>1228.5</v>
      </c>
      <c r="T446" s="14"/>
      <c r="U446" s="14"/>
      <c r="V446" s="14">
        <f>SUM(Matiere_premiere[[#This Row],[INVENTAIRE]],-Matiere_premiere[[#This Row],[Entrée]],-Matiere_premiere[[#This Row],[Sortis]])</f>
        <v>1228.5</v>
      </c>
      <c r="W446" s="50" t="str">
        <f>CONCATENATE(Matiere_premiere[[#This Row],[CODE COLEUR]],"_",Matiere_premiere[[#This Row],[COULEUR]],"_",Matiere_premiere[[#This Row],[CODE FAB]],"_",Matiere_premiere[[#This Row],[Num de Lot]])</f>
        <v>C23_OR_NM15-23.00_61566</v>
      </c>
    </row>
    <row r="447" spans="1:23" ht="19.7" customHeight="1" thickBot="1" x14ac:dyDescent="0.3">
      <c r="A447" s="68"/>
      <c r="B447" s="71"/>
      <c r="C447" s="71"/>
      <c r="D447" s="74"/>
      <c r="E447" s="76"/>
      <c r="F447" s="78"/>
      <c r="G447" s="74"/>
      <c r="H447" s="76"/>
      <c r="I447" s="80"/>
      <c r="J447" s="11" t="str">
        <f>Matiere_premiere[[#This Row],[Entrepot]]</f>
        <v>E2</v>
      </c>
      <c r="K447" s="9" t="b">
        <f>IF(Matiere_premiere[[#This Row],[INVENTAIRE]]&gt;0,TRUE,FALSE)</f>
        <v>0</v>
      </c>
      <c r="L447" s="65"/>
      <c r="M447" s="13" t="s">
        <v>103</v>
      </c>
      <c r="N447" s="13" t="s">
        <v>161</v>
      </c>
      <c r="O447" s="13" t="s">
        <v>158</v>
      </c>
      <c r="P447" s="13" t="s">
        <v>160</v>
      </c>
      <c r="Q447" s="55">
        <v>61566</v>
      </c>
      <c r="R447" s="13" t="s">
        <v>74</v>
      </c>
      <c r="S447" s="14">
        <v>0</v>
      </c>
      <c r="T447" s="14"/>
      <c r="U447" s="14"/>
      <c r="V447" s="14">
        <f>SUM(Matiere_premiere[[#This Row],[INVENTAIRE]],-Matiere_premiere[[#This Row],[Entrée]],-Matiere_premiere[[#This Row],[Sortis]])</f>
        <v>0</v>
      </c>
      <c r="W447" s="50" t="str">
        <f>CONCATENATE(Matiere_premiere[[#This Row],[CODE COLEUR]],"_",Matiere_premiere[[#This Row],[COULEUR]],"_",Matiere_premiere[[#This Row],[CODE FAB]],"_",Matiere_premiere[[#This Row],[Num de Lot]])</f>
        <v>C23_OR_NM15-23.00_61566</v>
      </c>
    </row>
    <row r="448" spans="1:23" ht="19.7" customHeight="1" thickBot="1" x14ac:dyDescent="0.3">
      <c r="A448" s="68"/>
      <c r="B448" s="71"/>
      <c r="C448" s="71"/>
      <c r="D448" s="74"/>
      <c r="E448" s="76"/>
      <c r="F448" s="78"/>
      <c r="G448" s="74"/>
      <c r="H448" s="76"/>
      <c r="I448" s="80"/>
      <c r="J448" s="11" t="str">
        <f>Matiere_premiere[[#This Row],[Entrepot]]</f>
        <v>E3</v>
      </c>
      <c r="K448" s="9" t="b">
        <f>IF(Matiere_premiere[[#This Row],[INVENTAIRE]]&gt;0,TRUE,FALSE)</f>
        <v>0</v>
      </c>
      <c r="L448" s="65"/>
      <c r="M448" s="13" t="s">
        <v>103</v>
      </c>
      <c r="N448" s="13" t="s">
        <v>161</v>
      </c>
      <c r="O448" s="13" t="s">
        <v>158</v>
      </c>
      <c r="P448" s="13" t="s">
        <v>160</v>
      </c>
      <c r="Q448" s="55">
        <v>61566</v>
      </c>
      <c r="R448" s="13" t="s">
        <v>73</v>
      </c>
      <c r="S448" s="14">
        <v>0</v>
      </c>
      <c r="T448" s="14"/>
      <c r="U448" s="14"/>
      <c r="V448" s="14">
        <f>SUM(Matiere_premiere[[#This Row],[INVENTAIRE]],-Matiere_premiere[[#This Row],[Entrée]],-Matiere_premiere[[#This Row],[Sortis]])</f>
        <v>0</v>
      </c>
      <c r="W448" s="50" t="str">
        <f>CONCATENATE(Matiere_premiere[[#This Row],[CODE COLEUR]],"_",Matiere_premiere[[#This Row],[COULEUR]],"_",Matiere_premiere[[#This Row],[CODE FAB]],"_",Matiere_premiere[[#This Row],[Num de Lot]])</f>
        <v>C23_OR_NM15-23.00_61566</v>
      </c>
    </row>
    <row r="449" spans="1:23" ht="19.7" customHeight="1" thickBot="1" x14ac:dyDescent="0.3">
      <c r="A449" s="69"/>
      <c r="B449" s="72"/>
      <c r="C449" s="72"/>
      <c r="D449" s="75"/>
      <c r="E449" s="77"/>
      <c r="F449" s="79"/>
      <c r="G449" s="75"/>
      <c r="H449" s="77"/>
      <c r="I449" s="81"/>
      <c r="J449" s="10" t="str">
        <f>Matiere_premiere[[#This Row],[Entrepot]]</f>
        <v>Usine</v>
      </c>
      <c r="K449" s="9" t="b">
        <f>IF(Matiere_premiere[[#This Row],[INVENTAIRE]]&gt;0,TRUE,FALSE)</f>
        <v>1</v>
      </c>
      <c r="L449" s="66"/>
      <c r="M449" s="13" t="s">
        <v>103</v>
      </c>
      <c r="N449" s="13" t="s">
        <v>161</v>
      </c>
      <c r="O449" s="13" t="s">
        <v>158</v>
      </c>
      <c r="P449" s="13" t="s">
        <v>160</v>
      </c>
      <c r="Q449" s="55">
        <v>61566</v>
      </c>
      <c r="R449" s="13" t="s">
        <v>68</v>
      </c>
      <c r="S449" s="14">
        <v>243</v>
      </c>
      <c r="T449" s="14"/>
      <c r="U449" s="14"/>
      <c r="V449" s="14">
        <f>SUM(Matiere_premiere[[#This Row],[INVENTAIRE]],-Matiere_premiere[[#This Row],[Entrée]],-Matiere_premiere[[#This Row],[Sortis]])</f>
        <v>243</v>
      </c>
      <c r="W449" s="50" t="str">
        <f>CONCATENATE(Matiere_premiere[[#This Row],[CODE COLEUR]],"_",Matiere_premiere[[#This Row],[COULEUR]],"_",Matiere_premiere[[#This Row],[CODE FAB]],"_",Matiere_premiere[[#This Row],[Num de Lot]])</f>
        <v>C23_OR_NM15-23.00_61566</v>
      </c>
    </row>
    <row r="450" spans="1:23" ht="19.7" customHeight="1" thickTop="1" thickBot="1" x14ac:dyDescent="0.3">
      <c r="A450" s="67" t="str">
        <f>Matiere_premiere[[#This Row],[NUMERO METRIQUE]]</f>
        <v>NM20</v>
      </c>
      <c r="B450" s="70" t="str">
        <f>Matiere_premiere[[#This Row],[COULEUR]]</f>
        <v>JAUNE</v>
      </c>
      <c r="C450" s="70" t="str">
        <f>Matiere_premiere[[#This Row],[CODE COLEUR]]</f>
        <v>C23</v>
      </c>
      <c r="D450" s="73" t="str">
        <f>Matiere_premiere[[#This Row],[CODE FAB]]</f>
        <v>NM20-23.00</v>
      </c>
      <c r="E450" s="76" t="e" vm="163">
        <f>_xlfn.IMAGE("https://api.qrserver.com/v1/create-qr-code/?size=100x100&amp;data=" &amp; D450)</f>
        <v>#VALUE!</v>
      </c>
      <c r="F450" s="78"/>
      <c r="G450" s="73" t="str">
        <f>Matiere_premiere[[#This Row],[Num de Lot]]</f>
        <v>S2022</v>
      </c>
      <c r="H450" s="76" t="e" vm="82">
        <f>_xlfn.IMAGE("https://api.qrserver.com/v1/create-qr-code/?size=100x100&amp;data=" &amp; G450)</f>
        <v>#VALUE!</v>
      </c>
      <c r="I450" s="80"/>
      <c r="J450" s="12" t="str">
        <f>Matiere_premiere[[#This Row],[Entrepot]]</f>
        <v>E1</v>
      </c>
      <c r="K450" s="9" t="b">
        <f>IF(Matiere_premiere[[#This Row],[INVENTAIRE]]&gt;0,TRUE,FALSE)</f>
        <v>1</v>
      </c>
      <c r="L450" s="65"/>
      <c r="M450" s="8" t="s">
        <v>82</v>
      </c>
      <c r="N450" s="8" t="s">
        <v>159</v>
      </c>
      <c r="O450" s="8" t="s">
        <v>158</v>
      </c>
      <c r="P450" s="8" t="s">
        <v>157</v>
      </c>
      <c r="Q450" s="53" t="s">
        <v>107</v>
      </c>
      <c r="R450" s="8" t="s">
        <v>75</v>
      </c>
      <c r="S450" s="7">
        <v>30</v>
      </c>
      <c r="T450" s="7"/>
      <c r="U450" s="7"/>
      <c r="V450" s="7">
        <f>SUM(Matiere_premiere[[#This Row],[INVENTAIRE]],-Matiere_premiere[[#This Row],[Entrée]],-Matiere_premiere[[#This Row],[Sortis]])</f>
        <v>30</v>
      </c>
      <c r="W450" s="50" t="str">
        <f>CONCATENATE(Matiere_premiere[[#This Row],[CODE COLEUR]],"_",Matiere_premiere[[#This Row],[COULEUR]],"_",Matiere_premiere[[#This Row],[CODE FAB]],"_",Matiere_premiere[[#This Row],[Num de Lot]])</f>
        <v>C23_JAUNE_NM20-23.00_S2022</v>
      </c>
    </row>
    <row r="451" spans="1:23" ht="19.7" customHeight="1" thickBot="1" x14ac:dyDescent="0.3">
      <c r="A451" s="68"/>
      <c r="B451" s="71"/>
      <c r="C451" s="71"/>
      <c r="D451" s="74"/>
      <c r="E451" s="76"/>
      <c r="F451" s="78"/>
      <c r="G451" s="74"/>
      <c r="H451" s="76"/>
      <c r="I451" s="80"/>
      <c r="J451" s="11" t="str">
        <f>Matiere_premiere[[#This Row],[Entrepot]]</f>
        <v>E2</v>
      </c>
      <c r="K451" s="9" t="b">
        <f>IF(Matiere_premiere[[#This Row],[INVENTAIRE]]&gt;0,TRUE,FALSE)</f>
        <v>0</v>
      </c>
      <c r="L451" s="65"/>
      <c r="M451" s="8" t="s">
        <v>82</v>
      </c>
      <c r="N451" s="8" t="s">
        <v>159</v>
      </c>
      <c r="O451" s="8" t="s">
        <v>158</v>
      </c>
      <c r="P451" s="8" t="s">
        <v>157</v>
      </c>
      <c r="Q451" s="53" t="s">
        <v>107</v>
      </c>
      <c r="R451" s="8" t="s">
        <v>74</v>
      </c>
      <c r="S451" s="7">
        <v>0</v>
      </c>
      <c r="T451" s="7"/>
      <c r="U451" s="7"/>
      <c r="V451" s="7">
        <f>SUM(Matiere_premiere[[#This Row],[INVENTAIRE]],-Matiere_premiere[[#This Row],[Entrée]],-Matiere_premiere[[#This Row],[Sortis]])</f>
        <v>0</v>
      </c>
      <c r="W451" s="50" t="str">
        <f>CONCATENATE(Matiere_premiere[[#This Row],[CODE COLEUR]],"_",Matiere_premiere[[#This Row],[COULEUR]],"_",Matiere_premiere[[#This Row],[CODE FAB]],"_",Matiere_premiere[[#This Row],[Num de Lot]])</f>
        <v>C23_JAUNE_NM20-23.00_S2022</v>
      </c>
    </row>
    <row r="452" spans="1:23" ht="19.7" customHeight="1" thickBot="1" x14ac:dyDescent="0.3">
      <c r="A452" s="68"/>
      <c r="B452" s="71"/>
      <c r="C452" s="71"/>
      <c r="D452" s="74"/>
      <c r="E452" s="76"/>
      <c r="F452" s="78"/>
      <c r="G452" s="74"/>
      <c r="H452" s="76"/>
      <c r="I452" s="80"/>
      <c r="J452" s="11" t="str">
        <f>Matiere_premiere[[#This Row],[Entrepot]]</f>
        <v>E3</v>
      </c>
      <c r="K452" s="9" t="b">
        <f>IF(Matiere_premiere[[#This Row],[INVENTAIRE]]&gt;0,TRUE,FALSE)</f>
        <v>0</v>
      </c>
      <c r="L452" s="65"/>
      <c r="M452" s="8" t="s">
        <v>82</v>
      </c>
      <c r="N452" s="8" t="s">
        <v>159</v>
      </c>
      <c r="O452" s="8" t="s">
        <v>158</v>
      </c>
      <c r="P452" s="8" t="s">
        <v>157</v>
      </c>
      <c r="Q452" s="53" t="s">
        <v>107</v>
      </c>
      <c r="R452" s="8" t="s">
        <v>73</v>
      </c>
      <c r="S452" s="7">
        <v>0</v>
      </c>
      <c r="T452" s="7"/>
      <c r="U452" s="7"/>
      <c r="V452" s="7">
        <f>SUM(Matiere_premiere[[#This Row],[INVENTAIRE]],-Matiere_premiere[[#This Row],[Entrée]],-Matiere_premiere[[#This Row],[Sortis]])</f>
        <v>0</v>
      </c>
      <c r="W452" s="50" t="str">
        <f>CONCATENATE(Matiere_premiere[[#This Row],[CODE COLEUR]],"_",Matiere_premiere[[#This Row],[COULEUR]],"_",Matiere_premiere[[#This Row],[CODE FAB]],"_",Matiere_premiere[[#This Row],[Num de Lot]])</f>
        <v>C23_JAUNE_NM20-23.00_S2022</v>
      </c>
    </row>
    <row r="453" spans="1:23" ht="19.7" customHeight="1" thickBot="1" x14ac:dyDescent="0.3">
      <c r="A453" s="69"/>
      <c r="B453" s="72"/>
      <c r="C453" s="72"/>
      <c r="D453" s="75"/>
      <c r="E453" s="77"/>
      <c r="F453" s="79"/>
      <c r="G453" s="75"/>
      <c r="H453" s="77"/>
      <c r="I453" s="81"/>
      <c r="J453" s="10" t="str">
        <f>Matiere_premiere[[#This Row],[Entrepot]]</f>
        <v>Usine</v>
      </c>
      <c r="K453" s="9" t="b">
        <f>IF(Matiere_premiere[[#This Row],[INVENTAIRE]]&gt;0,TRUE,FALSE)</f>
        <v>0</v>
      </c>
      <c r="L453" s="66"/>
      <c r="M453" s="8" t="s">
        <v>82</v>
      </c>
      <c r="N453" s="8" t="s">
        <v>159</v>
      </c>
      <c r="O453" s="8" t="s">
        <v>158</v>
      </c>
      <c r="P453" s="8" t="s">
        <v>157</v>
      </c>
      <c r="Q453" s="53" t="s">
        <v>107</v>
      </c>
      <c r="R453" s="8" t="s">
        <v>68</v>
      </c>
      <c r="S453" s="7">
        <v>0</v>
      </c>
      <c r="T453" s="7"/>
      <c r="U453" s="7"/>
      <c r="V453" s="7">
        <f>SUM(Matiere_premiere[[#This Row],[INVENTAIRE]],-Matiere_premiere[[#This Row],[Entrée]],-Matiere_premiere[[#This Row],[Sortis]])</f>
        <v>0</v>
      </c>
      <c r="W453" s="50" t="str">
        <f>CONCATENATE(Matiere_premiere[[#This Row],[CODE COLEUR]],"_",Matiere_premiere[[#This Row],[COULEUR]],"_",Matiere_premiere[[#This Row],[CODE FAB]],"_",Matiere_premiere[[#This Row],[Num de Lot]])</f>
        <v>C23_JAUNE_NM20-23.00_S2022</v>
      </c>
    </row>
    <row r="454" spans="1:23" ht="19.7" customHeight="1" thickTop="1" thickBot="1" x14ac:dyDescent="0.3">
      <c r="A454" s="67" t="str">
        <f>Matiere_premiere[[#This Row],[NUMERO METRIQUE]]</f>
        <v>NM15</v>
      </c>
      <c r="B454" s="70" t="str">
        <f>Matiere_premiere[[#This Row],[COULEUR]]</f>
        <v>JAUNE SAFRAN</v>
      </c>
      <c r="C454" s="70" t="str">
        <f>Matiere_premiere[[#This Row],[CODE COLEUR]]</f>
        <v>C24</v>
      </c>
      <c r="D454" s="73" t="str">
        <f>Matiere_premiere[[#This Row],[CODE FAB]]</f>
        <v>NM15-24.00</v>
      </c>
      <c r="E454" s="76" t="e" vm="164">
        <f>_xlfn.IMAGE("https://api.qrserver.com/v1/create-qr-code/?size=100x100&amp;data=" &amp; D454)</f>
        <v>#VALUE!</v>
      </c>
      <c r="F454" s="78"/>
      <c r="G454" s="73">
        <f>Matiere_premiere[[#This Row],[Num de Lot]]</f>
        <v>61554</v>
      </c>
      <c r="H454" s="76" t="e" vm="165">
        <f>_xlfn.IMAGE("https://api.qrserver.com/v1/create-qr-code/?size=100x100&amp;data=" &amp; G454)</f>
        <v>#VALUE!</v>
      </c>
      <c r="I454" s="80"/>
      <c r="J454" s="12" t="str">
        <f>Matiere_premiere[[#This Row],[Entrepot]]</f>
        <v>E1</v>
      </c>
      <c r="K454" s="9" t="b">
        <f>IF(Matiere_premiere[[#This Row],[INVENTAIRE]]&gt;0,TRUE,FALSE)</f>
        <v>0</v>
      </c>
      <c r="L454" s="65"/>
      <c r="M454" s="13" t="s">
        <v>103</v>
      </c>
      <c r="N454" s="13" t="s">
        <v>155</v>
      </c>
      <c r="O454" s="13" t="s">
        <v>154</v>
      </c>
      <c r="P454" s="13" t="s">
        <v>156</v>
      </c>
      <c r="Q454" s="55">
        <v>61554</v>
      </c>
      <c r="R454" s="13" t="s">
        <v>75</v>
      </c>
      <c r="S454" s="14">
        <v>0</v>
      </c>
      <c r="T454" s="14"/>
      <c r="U454" s="14"/>
      <c r="V454" s="14">
        <f>SUM(Matiere_premiere[[#This Row],[INVENTAIRE]],-Matiere_premiere[[#This Row],[Entrée]],-Matiere_premiere[[#This Row],[Sortis]])</f>
        <v>0</v>
      </c>
      <c r="W454" s="50" t="str">
        <f>CONCATENATE(Matiere_premiere[[#This Row],[CODE COLEUR]],"_",Matiere_premiere[[#This Row],[COULEUR]],"_",Matiere_premiere[[#This Row],[CODE FAB]],"_",Matiere_premiere[[#This Row],[Num de Lot]])</f>
        <v>C24_JAUNE SAFRAN_NM15-24.00_61554</v>
      </c>
    </row>
    <row r="455" spans="1:23" ht="19.7" customHeight="1" thickBot="1" x14ac:dyDescent="0.3">
      <c r="A455" s="68"/>
      <c r="B455" s="71"/>
      <c r="C455" s="71"/>
      <c r="D455" s="74"/>
      <c r="E455" s="76"/>
      <c r="F455" s="78"/>
      <c r="G455" s="74"/>
      <c r="H455" s="76"/>
      <c r="I455" s="80"/>
      <c r="J455" s="11" t="str">
        <f>Matiere_premiere[[#This Row],[Entrepot]]</f>
        <v>E2</v>
      </c>
      <c r="K455" s="9" t="b">
        <f>IF(Matiere_premiere[[#This Row],[INVENTAIRE]]&gt;0,TRUE,FALSE)</f>
        <v>0</v>
      </c>
      <c r="L455" s="65"/>
      <c r="M455" s="13" t="s">
        <v>103</v>
      </c>
      <c r="N455" s="13" t="s">
        <v>155</v>
      </c>
      <c r="O455" s="13" t="s">
        <v>154</v>
      </c>
      <c r="P455" s="13" t="s">
        <v>156</v>
      </c>
      <c r="Q455" s="55">
        <v>61554</v>
      </c>
      <c r="R455" s="13" t="s">
        <v>74</v>
      </c>
      <c r="S455" s="14">
        <v>0</v>
      </c>
      <c r="T455" s="14"/>
      <c r="U455" s="14"/>
      <c r="V455" s="14">
        <f>SUM(Matiere_premiere[[#This Row],[INVENTAIRE]],-Matiere_premiere[[#This Row],[Entrée]],-Matiere_premiere[[#This Row],[Sortis]])</f>
        <v>0</v>
      </c>
      <c r="W455" s="50" t="str">
        <f>CONCATENATE(Matiere_premiere[[#This Row],[CODE COLEUR]],"_",Matiere_premiere[[#This Row],[COULEUR]],"_",Matiere_premiere[[#This Row],[CODE FAB]],"_",Matiere_premiere[[#This Row],[Num de Lot]])</f>
        <v>C24_JAUNE SAFRAN_NM15-24.00_61554</v>
      </c>
    </row>
    <row r="456" spans="1:23" ht="19.7" customHeight="1" thickBot="1" x14ac:dyDescent="0.3">
      <c r="A456" s="68"/>
      <c r="B456" s="71"/>
      <c r="C456" s="71"/>
      <c r="D456" s="74"/>
      <c r="E456" s="76"/>
      <c r="F456" s="78"/>
      <c r="G456" s="74"/>
      <c r="H456" s="76"/>
      <c r="I456" s="80"/>
      <c r="J456" s="11" t="str">
        <f>Matiere_premiere[[#This Row],[Entrepot]]</f>
        <v>E3</v>
      </c>
      <c r="K456" s="9" t="b">
        <f>IF(Matiere_premiere[[#This Row],[INVENTAIRE]]&gt;0,TRUE,FALSE)</f>
        <v>1</v>
      </c>
      <c r="L456" s="65"/>
      <c r="M456" s="13" t="s">
        <v>103</v>
      </c>
      <c r="N456" s="13" t="s">
        <v>155</v>
      </c>
      <c r="O456" s="13" t="s">
        <v>154</v>
      </c>
      <c r="P456" s="13" t="s">
        <v>156</v>
      </c>
      <c r="Q456" s="55">
        <v>61554</v>
      </c>
      <c r="R456" s="13" t="s">
        <v>73</v>
      </c>
      <c r="S456" s="14">
        <v>917</v>
      </c>
      <c r="T456" s="14"/>
      <c r="U456" s="14"/>
      <c r="V456" s="14">
        <f>SUM(Matiere_premiere[[#This Row],[INVENTAIRE]],-Matiere_premiere[[#This Row],[Entrée]],-Matiere_premiere[[#This Row],[Sortis]])</f>
        <v>917</v>
      </c>
      <c r="W456" s="50" t="str">
        <f>CONCATENATE(Matiere_premiere[[#This Row],[CODE COLEUR]],"_",Matiere_premiere[[#This Row],[COULEUR]],"_",Matiere_premiere[[#This Row],[CODE FAB]],"_",Matiere_premiere[[#This Row],[Num de Lot]])</f>
        <v>C24_JAUNE SAFRAN_NM15-24.00_61554</v>
      </c>
    </row>
    <row r="457" spans="1:23" ht="19.7" customHeight="1" thickBot="1" x14ac:dyDescent="0.3">
      <c r="A457" s="69"/>
      <c r="B457" s="72"/>
      <c r="C457" s="72"/>
      <c r="D457" s="75"/>
      <c r="E457" s="77"/>
      <c r="F457" s="79"/>
      <c r="G457" s="75"/>
      <c r="H457" s="77"/>
      <c r="I457" s="81"/>
      <c r="J457" s="10" t="str">
        <f>Matiere_premiere[[#This Row],[Entrepot]]</f>
        <v>Usine</v>
      </c>
      <c r="K457" s="9" t="b">
        <f>IF(Matiere_premiere[[#This Row],[INVENTAIRE]]&gt;0,TRUE,FALSE)</f>
        <v>1</v>
      </c>
      <c r="L457" s="66"/>
      <c r="M457" s="13" t="s">
        <v>103</v>
      </c>
      <c r="N457" s="13" t="s">
        <v>155</v>
      </c>
      <c r="O457" s="13" t="s">
        <v>154</v>
      </c>
      <c r="P457" s="13" t="s">
        <v>156</v>
      </c>
      <c r="Q457" s="55">
        <v>61554</v>
      </c>
      <c r="R457" s="13" t="s">
        <v>68</v>
      </c>
      <c r="S457" s="14">
        <v>356</v>
      </c>
      <c r="T457" s="14"/>
      <c r="U457" s="14"/>
      <c r="V457" s="14">
        <f>SUM(Matiere_premiere[[#This Row],[INVENTAIRE]],-Matiere_premiere[[#This Row],[Entrée]],-Matiere_premiere[[#This Row],[Sortis]])</f>
        <v>356</v>
      </c>
      <c r="W457" s="50" t="str">
        <f>CONCATENATE(Matiere_premiere[[#This Row],[CODE COLEUR]],"_",Matiere_premiere[[#This Row],[COULEUR]],"_",Matiere_premiere[[#This Row],[CODE FAB]],"_",Matiere_premiere[[#This Row],[Num de Lot]])</f>
        <v>C24_JAUNE SAFRAN_NM15-24.00_61554</v>
      </c>
    </row>
    <row r="458" spans="1:23" ht="19.7" customHeight="1" thickTop="1" thickBot="1" x14ac:dyDescent="0.3">
      <c r="A458" s="67" t="str">
        <f>Matiere_premiere[[#This Row],[NUMERO METRIQUE]]</f>
        <v>NM15</v>
      </c>
      <c r="B458" s="70" t="str">
        <f>Matiere_premiere[[#This Row],[COULEUR]]</f>
        <v>JAUNE SAFRAN</v>
      </c>
      <c r="C458" s="70" t="str">
        <f>Matiere_premiere[[#This Row],[CODE COLEUR]]</f>
        <v>C24</v>
      </c>
      <c r="D458" s="73" t="str">
        <f>Matiere_premiere[[#This Row],[CODE FAB]]</f>
        <v>NM15-24.01</v>
      </c>
      <c r="E458" s="76" t="e" vm="166">
        <f>_xlfn.IMAGE("https://api.qrserver.com/v1/create-qr-code/?size=100x100&amp;data=" &amp; D458)</f>
        <v>#VALUE!</v>
      </c>
      <c r="F458" s="78"/>
      <c r="G458" s="73" t="str">
        <f>Matiere_premiere[[#This Row],[Num de Lot]]</f>
        <v>S2023</v>
      </c>
      <c r="H458" s="76" t="e" vm="2">
        <f>_xlfn.IMAGE("https://api.qrserver.com/v1/create-qr-code/?size=100x100&amp;data=" &amp; G458)</f>
        <v>#VALUE!</v>
      </c>
      <c r="I458" s="80"/>
      <c r="J458" s="12" t="str">
        <f>Matiere_premiere[[#This Row],[Entrepot]]</f>
        <v>E1</v>
      </c>
      <c r="K458" s="9" t="b">
        <f>IF(Matiere_premiere[[#This Row],[INVENTAIRE]]&gt;0,TRUE,FALSE)</f>
        <v>0</v>
      </c>
      <c r="L458" s="65"/>
      <c r="M458" s="8" t="s">
        <v>103</v>
      </c>
      <c r="N458" s="8" t="s">
        <v>155</v>
      </c>
      <c r="O458" s="8" t="s">
        <v>154</v>
      </c>
      <c r="P458" s="8" t="s">
        <v>153</v>
      </c>
      <c r="Q458" s="53" t="s">
        <v>69</v>
      </c>
      <c r="R458" s="8" t="s">
        <v>75</v>
      </c>
      <c r="S458" s="7">
        <v>0</v>
      </c>
      <c r="T458" s="7"/>
      <c r="U458" s="7"/>
      <c r="V458" s="7">
        <f>SUM(Matiere_premiere[[#This Row],[INVENTAIRE]],-Matiere_premiere[[#This Row],[Entrée]],-Matiere_premiere[[#This Row],[Sortis]])</f>
        <v>0</v>
      </c>
      <c r="W458" s="50" t="str">
        <f>CONCATENATE(Matiere_premiere[[#This Row],[CODE COLEUR]],"_",Matiere_premiere[[#This Row],[COULEUR]],"_",Matiere_premiere[[#This Row],[CODE FAB]],"_",Matiere_premiere[[#This Row],[Num de Lot]])</f>
        <v>C24_JAUNE SAFRAN_NM15-24.01_S2023</v>
      </c>
    </row>
    <row r="459" spans="1:23" ht="19.7" customHeight="1" thickBot="1" x14ac:dyDescent="0.3">
      <c r="A459" s="68"/>
      <c r="B459" s="71"/>
      <c r="C459" s="71"/>
      <c r="D459" s="74"/>
      <c r="E459" s="76"/>
      <c r="F459" s="78"/>
      <c r="G459" s="74"/>
      <c r="H459" s="76"/>
      <c r="I459" s="80"/>
      <c r="J459" s="11" t="str">
        <f>Matiere_premiere[[#This Row],[Entrepot]]</f>
        <v>E2</v>
      </c>
      <c r="K459" s="9" t="b">
        <f>IF(Matiere_premiere[[#This Row],[INVENTAIRE]]&gt;0,TRUE,FALSE)</f>
        <v>0</v>
      </c>
      <c r="L459" s="65"/>
      <c r="M459" s="8" t="s">
        <v>103</v>
      </c>
      <c r="N459" s="8" t="s">
        <v>155</v>
      </c>
      <c r="O459" s="8" t="s">
        <v>154</v>
      </c>
      <c r="P459" s="8" t="s">
        <v>153</v>
      </c>
      <c r="Q459" s="53" t="s">
        <v>69</v>
      </c>
      <c r="R459" s="8" t="s">
        <v>74</v>
      </c>
      <c r="S459" s="7">
        <v>0</v>
      </c>
      <c r="T459" s="7"/>
      <c r="U459" s="7"/>
      <c r="V459" s="7">
        <f>SUM(Matiere_premiere[[#This Row],[INVENTAIRE]],-Matiere_premiere[[#This Row],[Entrée]],-Matiere_premiere[[#This Row],[Sortis]])</f>
        <v>0</v>
      </c>
      <c r="W459" s="50" t="str">
        <f>CONCATENATE(Matiere_premiere[[#This Row],[CODE COLEUR]],"_",Matiere_premiere[[#This Row],[COULEUR]],"_",Matiere_premiere[[#This Row],[CODE FAB]],"_",Matiere_premiere[[#This Row],[Num de Lot]])</f>
        <v>C24_JAUNE SAFRAN_NM15-24.01_S2023</v>
      </c>
    </row>
    <row r="460" spans="1:23" ht="19.7" customHeight="1" thickBot="1" x14ac:dyDescent="0.3">
      <c r="A460" s="68"/>
      <c r="B460" s="71"/>
      <c r="C460" s="71"/>
      <c r="D460" s="74"/>
      <c r="E460" s="76"/>
      <c r="F460" s="78"/>
      <c r="G460" s="74"/>
      <c r="H460" s="76"/>
      <c r="I460" s="80"/>
      <c r="J460" s="11" t="str">
        <f>Matiere_premiere[[#This Row],[Entrepot]]</f>
        <v>E3</v>
      </c>
      <c r="K460" s="9" t="b">
        <f>IF(Matiere_premiere[[#This Row],[INVENTAIRE]]&gt;0,TRUE,FALSE)</f>
        <v>0</v>
      </c>
      <c r="L460" s="65"/>
      <c r="M460" s="8" t="s">
        <v>103</v>
      </c>
      <c r="N460" s="8" t="s">
        <v>155</v>
      </c>
      <c r="O460" s="8" t="s">
        <v>154</v>
      </c>
      <c r="P460" s="8" t="s">
        <v>153</v>
      </c>
      <c r="Q460" s="53" t="s">
        <v>69</v>
      </c>
      <c r="R460" s="8" t="s">
        <v>73</v>
      </c>
      <c r="S460" s="7">
        <v>0</v>
      </c>
      <c r="T460" s="7"/>
      <c r="U460" s="7"/>
      <c r="V460" s="7">
        <f>SUM(Matiere_premiere[[#This Row],[INVENTAIRE]],-Matiere_premiere[[#This Row],[Entrée]],-Matiere_premiere[[#This Row],[Sortis]])</f>
        <v>0</v>
      </c>
      <c r="W460" s="50" t="str">
        <f>CONCATENATE(Matiere_premiere[[#This Row],[CODE COLEUR]],"_",Matiere_premiere[[#This Row],[COULEUR]],"_",Matiere_premiere[[#This Row],[CODE FAB]],"_",Matiere_premiere[[#This Row],[Num de Lot]])</f>
        <v>C24_JAUNE SAFRAN_NM15-24.01_S2023</v>
      </c>
    </row>
    <row r="461" spans="1:23" ht="19.7" customHeight="1" thickBot="1" x14ac:dyDescent="0.3">
      <c r="A461" s="69"/>
      <c r="B461" s="72"/>
      <c r="C461" s="72"/>
      <c r="D461" s="75"/>
      <c r="E461" s="77"/>
      <c r="F461" s="79"/>
      <c r="G461" s="75"/>
      <c r="H461" s="77"/>
      <c r="I461" s="81"/>
      <c r="J461" s="10" t="str">
        <f>Matiere_premiere[[#This Row],[Entrepot]]</f>
        <v>Usine</v>
      </c>
      <c r="K461" s="9" t="b">
        <f>IF(Matiere_premiere[[#This Row],[INVENTAIRE]]&gt;0,TRUE,FALSE)</f>
        <v>0</v>
      </c>
      <c r="L461" s="66"/>
      <c r="M461" s="8" t="s">
        <v>103</v>
      </c>
      <c r="N461" s="8" t="s">
        <v>155</v>
      </c>
      <c r="O461" s="8" t="s">
        <v>154</v>
      </c>
      <c r="P461" s="8" t="s">
        <v>153</v>
      </c>
      <c r="Q461" s="53" t="s">
        <v>69</v>
      </c>
      <c r="R461" s="8" t="s">
        <v>68</v>
      </c>
      <c r="S461" s="7">
        <v>0</v>
      </c>
      <c r="T461" s="7"/>
      <c r="U461" s="7"/>
      <c r="V461" s="7">
        <f>SUM(Matiere_premiere[[#This Row],[INVENTAIRE]],-Matiere_premiere[[#This Row],[Entrée]],-Matiere_premiere[[#This Row],[Sortis]])</f>
        <v>0</v>
      </c>
      <c r="W461" s="50" t="str">
        <f>CONCATENATE(Matiere_premiere[[#This Row],[CODE COLEUR]],"_",Matiere_premiere[[#This Row],[COULEUR]],"_",Matiere_premiere[[#This Row],[CODE FAB]],"_",Matiere_premiere[[#This Row],[Num de Lot]])</f>
        <v>C24_JAUNE SAFRAN_NM15-24.01_S2023</v>
      </c>
    </row>
    <row r="462" spans="1:23" ht="19.7" customHeight="1" thickTop="1" thickBot="1" x14ac:dyDescent="0.3">
      <c r="A462" s="67" t="str">
        <f>Matiere_premiere[[#This Row],[NUMERO METRIQUE]]</f>
        <v>NM15</v>
      </c>
      <c r="B462" s="70" t="str">
        <f>Matiere_premiere[[#This Row],[COULEUR]]</f>
        <v>ORANGE</v>
      </c>
      <c r="C462" s="70" t="str">
        <f>Matiere_premiere[[#This Row],[CODE COLEUR]]</f>
        <v>C25</v>
      </c>
      <c r="D462" s="73" t="str">
        <f>Matiere_premiere[[#This Row],[CODE FAB]]</f>
        <v>NM15-25.00</v>
      </c>
      <c r="E462" s="76" t="e" vm="167">
        <f>_xlfn.IMAGE("https://api.qrserver.com/v1/create-qr-code/?size=100x100&amp;data=" &amp; D462)</f>
        <v>#VALUE!</v>
      </c>
      <c r="F462" s="78"/>
      <c r="G462" s="73">
        <f>Matiere_premiere[[#This Row],[Num de Lot]]</f>
        <v>61729</v>
      </c>
      <c r="H462" s="76" t="e" vm="168">
        <f>_xlfn.IMAGE("https://api.qrserver.com/v1/create-qr-code/?size=100x100&amp;data=" &amp; G462)</f>
        <v>#VALUE!</v>
      </c>
      <c r="I462" s="80"/>
      <c r="J462" s="12" t="str">
        <f>Matiere_premiere[[#This Row],[Entrepot]]</f>
        <v>E1</v>
      </c>
      <c r="K462" s="9" t="b">
        <f>IF(Matiere_premiere[[#This Row],[INVENTAIRE]]&gt;0,TRUE,FALSE)</f>
        <v>1</v>
      </c>
      <c r="L462" s="65"/>
      <c r="M462" s="13" t="s">
        <v>103</v>
      </c>
      <c r="N462" s="13" t="s">
        <v>150</v>
      </c>
      <c r="O462" s="13" t="s">
        <v>149</v>
      </c>
      <c r="P462" s="13" t="s">
        <v>152</v>
      </c>
      <c r="Q462" s="55">
        <v>61729</v>
      </c>
      <c r="R462" s="13" t="s">
        <v>75</v>
      </c>
      <c r="S462" s="14">
        <v>308</v>
      </c>
      <c r="T462" s="14"/>
      <c r="U462" s="14"/>
      <c r="V462" s="14">
        <f>SUM(Matiere_premiere[[#This Row],[INVENTAIRE]],-Matiere_premiere[[#This Row],[Entrée]],-Matiere_premiere[[#This Row],[Sortis]])</f>
        <v>308</v>
      </c>
      <c r="W462" s="50" t="str">
        <f>CONCATENATE(Matiere_premiere[[#This Row],[CODE COLEUR]],"_",Matiere_premiere[[#This Row],[COULEUR]],"_",Matiere_premiere[[#This Row],[CODE FAB]],"_",Matiere_premiere[[#This Row],[Num de Lot]])</f>
        <v>C25_ORANGE_NM15-25.00_61729</v>
      </c>
    </row>
    <row r="463" spans="1:23" ht="19.7" customHeight="1" thickBot="1" x14ac:dyDescent="0.3">
      <c r="A463" s="68"/>
      <c r="B463" s="71"/>
      <c r="C463" s="71"/>
      <c r="D463" s="74"/>
      <c r="E463" s="76"/>
      <c r="F463" s="78"/>
      <c r="G463" s="74"/>
      <c r="H463" s="76"/>
      <c r="I463" s="80"/>
      <c r="J463" s="11" t="str">
        <f>Matiere_premiere[[#This Row],[Entrepot]]</f>
        <v>E2</v>
      </c>
      <c r="K463" s="9" t="b">
        <f>IF(Matiere_premiere[[#This Row],[INVENTAIRE]]&gt;0,TRUE,FALSE)</f>
        <v>0</v>
      </c>
      <c r="L463" s="65"/>
      <c r="M463" s="13" t="s">
        <v>103</v>
      </c>
      <c r="N463" s="13" t="s">
        <v>150</v>
      </c>
      <c r="O463" s="13" t="s">
        <v>149</v>
      </c>
      <c r="P463" s="13" t="s">
        <v>152</v>
      </c>
      <c r="Q463" s="55">
        <v>61729</v>
      </c>
      <c r="R463" s="13" t="s">
        <v>74</v>
      </c>
      <c r="S463" s="14">
        <v>0</v>
      </c>
      <c r="T463" s="14"/>
      <c r="U463" s="14"/>
      <c r="V463" s="14">
        <f>SUM(Matiere_premiere[[#This Row],[INVENTAIRE]],-Matiere_premiere[[#This Row],[Entrée]],-Matiere_premiere[[#This Row],[Sortis]])</f>
        <v>0</v>
      </c>
      <c r="W463" s="50" t="str">
        <f>CONCATENATE(Matiere_premiere[[#This Row],[CODE COLEUR]],"_",Matiere_premiere[[#This Row],[COULEUR]],"_",Matiere_premiere[[#This Row],[CODE FAB]],"_",Matiere_premiere[[#This Row],[Num de Lot]])</f>
        <v>C25_ORANGE_NM15-25.00_61729</v>
      </c>
    </row>
    <row r="464" spans="1:23" ht="19.7" customHeight="1" thickBot="1" x14ac:dyDescent="0.3">
      <c r="A464" s="68"/>
      <c r="B464" s="71"/>
      <c r="C464" s="71"/>
      <c r="D464" s="74"/>
      <c r="E464" s="76"/>
      <c r="F464" s="78"/>
      <c r="G464" s="74"/>
      <c r="H464" s="76"/>
      <c r="I464" s="80"/>
      <c r="J464" s="11" t="str">
        <f>Matiere_premiere[[#This Row],[Entrepot]]</f>
        <v>E3</v>
      </c>
      <c r="K464" s="9" t="b">
        <f>IF(Matiere_premiere[[#This Row],[INVENTAIRE]]&gt;0,TRUE,FALSE)</f>
        <v>0</v>
      </c>
      <c r="L464" s="65"/>
      <c r="M464" s="13" t="s">
        <v>103</v>
      </c>
      <c r="N464" s="13" t="s">
        <v>150</v>
      </c>
      <c r="O464" s="13" t="s">
        <v>149</v>
      </c>
      <c r="P464" s="13" t="s">
        <v>152</v>
      </c>
      <c r="Q464" s="55">
        <v>61729</v>
      </c>
      <c r="R464" s="13" t="s">
        <v>73</v>
      </c>
      <c r="S464" s="14">
        <v>0</v>
      </c>
      <c r="T464" s="14"/>
      <c r="U464" s="14"/>
      <c r="V464" s="14">
        <f>SUM(Matiere_premiere[[#This Row],[INVENTAIRE]],-Matiere_premiere[[#This Row],[Entrée]],-Matiere_premiere[[#This Row],[Sortis]])</f>
        <v>0</v>
      </c>
      <c r="W464" s="50" t="str">
        <f>CONCATENATE(Matiere_premiere[[#This Row],[CODE COLEUR]],"_",Matiere_premiere[[#This Row],[COULEUR]],"_",Matiere_premiere[[#This Row],[CODE FAB]],"_",Matiere_premiere[[#This Row],[Num de Lot]])</f>
        <v>C25_ORANGE_NM15-25.00_61729</v>
      </c>
    </row>
    <row r="465" spans="1:23" ht="19.7" customHeight="1" thickBot="1" x14ac:dyDescent="0.3">
      <c r="A465" s="69"/>
      <c r="B465" s="72"/>
      <c r="C465" s="72"/>
      <c r="D465" s="75"/>
      <c r="E465" s="77"/>
      <c r="F465" s="79"/>
      <c r="G465" s="75"/>
      <c r="H465" s="77"/>
      <c r="I465" s="81"/>
      <c r="J465" s="10" t="str">
        <f>Matiere_premiere[[#This Row],[Entrepot]]</f>
        <v>Usine</v>
      </c>
      <c r="K465" s="9" t="b">
        <f>IF(Matiere_premiere[[#This Row],[INVENTAIRE]]&gt;0,TRUE,FALSE)</f>
        <v>1</v>
      </c>
      <c r="L465" s="66"/>
      <c r="M465" s="13" t="s">
        <v>103</v>
      </c>
      <c r="N465" s="13" t="s">
        <v>150</v>
      </c>
      <c r="O465" s="13" t="s">
        <v>149</v>
      </c>
      <c r="P465" s="13" t="s">
        <v>152</v>
      </c>
      <c r="Q465" s="55">
        <v>61729</v>
      </c>
      <c r="R465" s="13" t="s">
        <v>68</v>
      </c>
      <c r="S465" s="14">
        <v>142</v>
      </c>
      <c r="T465" s="14"/>
      <c r="U465" s="14"/>
      <c r="V465" s="14">
        <f>SUM(Matiere_premiere[[#This Row],[INVENTAIRE]],-Matiere_premiere[[#This Row],[Entrée]],-Matiere_premiere[[#This Row],[Sortis]])</f>
        <v>142</v>
      </c>
      <c r="W465" s="50" t="str">
        <f>CONCATENATE(Matiere_premiere[[#This Row],[CODE COLEUR]],"_",Matiere_premiere[[#This Row],[COULEUR]],"_",Matiere_premiere[[#This Row],[CODE FAB]],"_",Matiere_premiere[[#This Row],[Num de Lot]])</f>
        <v>C25_ORANGE_NM15-25.00_61729</v>
      </c>
    </row>
    <row r="466" spans="1:23" ht="19.7" customHeight="1" thickTop="1" thickBot="1" x14ac:dyDescent="0.3">
      <c r="A466" s="67" t="str">
        <f>Matiere_premiere[[#This Row],[NUMERO METRIQUE]]</f>
        <v>NM15</v>
      </c>
      <c r="B466" s="70" t="str">
        <f>Matiere_premiere[[#This Row],[COULEUR]]</f>
        <v>ORANGE</v>
      </c>
      <c r="C466" s="70" t="str">
        <f>Matiere_premiere[[#This Row],[CODE COLEUR]]</f>
        <v>C25</v>
      </c>
      <c r="D466" s="73" t="str">
        <f>Matiere_premiere[[#This Row],[CODE FAB]]</f>
        <v>NM15-25.00</v>
      </c>
      <c r="E466" s="76" t="e" vm="167">
        <f>_xlfn.IMAGE("https://api.qrserver.com/v1/create-qr-code/?size=100x100&amp;data=" &amp; D466)</f>
        <v>#VALUE!</v>
      </c>
      <c r="F466" s="78"/>
      <c r="G466" s="73">
        <f>Matiere_premiere[[#This Row],[Num de Lot]]</f>
        <v>64414</v>
      </c>
      <c r="H466" s="76" t="e" vm="169">
        <f>_xlfn.IMAGE("https://api.qrserver.com/v1/create-qr-code/?size=100x100&amp;data=" &amp; G466)</f>
        <v>#VALUE!</v>
      </c>
      <c r="I466" s="80"/>
      <c r="J466" s="12" t="str">
        <f>Matiere_premiere[[#This Row],[Entrepot]]</f>
        <v>E1</v>
      </c>
      <c r="K466" s="9" t="b">
        <f>IF(Matiere_premiere[[#This Row],[INVENTAIRE]]&gt;0,TRUE,FALSE)</f>
        <v>1</v>
      </c>
      <c r="L466" s="65"/>
      <c r="M466" s="15" t="s">
        <v>103</v>
      </c>
      <c r="N466" s="15" t="s">
        <v>150</v>
      </c>
      <c r="O466" s="15" t="s">
        <v>149</v>
      </c>
      <c r="P466" s="15" t="s">
        <v>152</v>
      </c>
      <c r="Q466" s="56">
        <v>64414</v>
      </c>
      <c r="R466" s="8" t="s">
        <v>75</v>
      </c>
      <c r="S466" s="7">
        <v>143.47</v>
      </c>
      <c r="T466" s="7"/>
      <c r="U466" s="7"/>
      <c r="V466" s="7">
        <f>SUM(Matiere_premiere[[#This Row],[INVENTAIRE]],-Matiere_premiere[[#This Row],[Entrée]],-Matiere_premiere[[#This Row],[Sortis]])</f>
        <v>143.47</v>
      </c>
      <c r="W466" s="50" t="str">
        <f>CONCATENATE(Matiere_premiere[[#This Row],[CODE COLEUR]],"_",Matiere_premiere[[#This Row],[COULEUR]],"_",Matiere_premiere[[#This Row],[CODE FAB]],"_",Matiere_premiere[[#This Row],[Num de Lot]])</f>
        <v>C25_ORANGE_NM15-25.00_64414</v>
      </c>
    </row>
    <row r="467" spans="1:23" ht="19.7" customHeight="1" thickBot="1" x14ac:dyDescent="0.3">
      <c r="A467" s="68"/>
      <c r="B467" s="71"/>
      <c r="C467" s="71"/>
      <c r="D467" s="74"/>
      <c r="E467" s="76"/>
      <c r="F467" s="78"/>
      <c r="G467" s="74"/>
      <c r="H467" s="76"/>
      <c r="I467" s="80"/>
      <c r="J467" s="11" t="str">
        <f>Matiere_premiere[[#This Row],[Entrepot]]</f>
        <v>E2</v>
      </c>
      <c r="K467" s="9" t="b">
        <f>IF(Matiere_premiere[[#This Row],[INVENTAIRE]]&gt;0,TRUE,FALSE)</f>
        <v>0</v>
      </c>
      <c r="L467" s="65"/>
      <c r="M467" s="15" t="s">
        <v>103</v>
      </c>
      <c r="N467" s="15" t="s">
        <v>150</v>
      </c>
      <c r="O467" s="15" t="s">
        <v>149</v>
      </c>
      <c r="P467" s="15" t="s">
        <v>152</v>
      </c>
      <c r="Q467" s="56">
        <v>64414</v>
      </c>
      <c r="R467" s="8" t="s">
        <v>74</v>
      </c>
      <c r="S467" s="7">
        <v>0</v>
      </c>
      <c r="T467" s="7"/>
      <c r="U467" s="7"/>
      <c r="V467" s="7">
        <f>SUM(Matiere_premiere[[#This Row],[INVENTAIRE]],-Matiere_premiere[[#This Row],[Entrée]],-Matiere_premiere[[#This Row],[Sortis]])</f>
        <v>0</v>
      </c>
      <c r="W467" s="50" t="str">
        <f>CONCATENATE(Matiere_premiere[[#This Row],[CODE COLEUR]],"_",Matiere_premiere[[#This Row],[COULEUR]],"_",Matiere_premiere[[#This Row],[CODE FAB]],"_",Matiere_premiere[[#This Row],[Num de Lot]])</f>
        <v>C25_ORANGE_NM15-25.00_64414</v>
      </c>
    </row>
    <row r="468" spans="1:23" ht="19.7" customHeight="1" thickBot="1" x14ac:dyDescent="0.3">
      <c r="A468" s="68"/>
      <c r="B468" s="71"/>
      <c r="C468" s="71"/>
      <c r="D468" s="74"/>
      <c r="E468" s="76"/>
      <c r="F468" s="78"/>
      <c r="G468" s="74"/>
      <c r="H468" s="76"/>
      <c r="I468" s="80"/>
      <c r="J468" s="11" t="str">
        <f>Matiere_premiere[[#This Row],[Entrepot]]</f>
        <v>E3</v>
      </c>
      <c r="K468" s="9" t="b">
        <f>IF(Matiere_premiere[[#This Row],[INVENTAIRE]]&gt;0,TRUE,FALSE)</f>
        <v>0</v>
      </c>
      <c r="L468" s="65"/>
      <c r="M468" s="15" t="s">
        <v>103</v>
      </c>
      <c r="N468" s="15" t="s">
        <v>150</v>
      </c>
      <c r="O468" s="15" t="s">
        <v>149</v>
      </c>
      <c r="P468" s="15" t="s">
        <v>152</v>
      </c>
      <c r="Q468" s="56">
        <v>64414</v>
      </c>
      <c r="R468" s="8" t="s">
        <v>73</v>
      </c>
      <c r="S468" s="7">
        <v>0</v>
      </c>
      <c r="T468" s="7"/>
      <c r="U468" s="7"/>
      <c r="V468" s="7">
        <f>SUM(Matiere_premiere[[#This Row],[INVENTAIRE]],-Matiere_premiere[[#This Row],[Entrée]],-Matiere_premiere[[#This Row],[Sortis]])</f>
        <v>0</v>
      </c>
      <c r="W468" s="50" t="str">
        <f>CONCATENATE(Matiere_premiere[[#This Row],[CODE COLEUR]],"_",Matiere_premiere[[#This Row],[COULEUR]],"_",Matiere_premiere[[#This Row],[CODE FAB]],"_",Matiere_premiere[[#This Row],[Num de Lot]])</f>
        <v>C25_ORANGE_NM15-25.00_64414</v>
      </c>
    </row>
    <row r="469" spans="1:23" ht="19.7" customHeight="1" thickBot="1" x14ac:dyDescent="0.3">
      <c r="A469" s="69"/>
      <c r="B469" s="72"/>
      <c r="C469" s="72"/>
      <c r="D469" s="75"/>
      <c r="E469" s="77"/>
      <c r="F469" s="79"/>
      <c r="G469" s="75"/>
      <c r="H469" s="77"/>
      <c r="I469" s="81"/>
      <c r="J469" s="10" t="str">
        <f>Matiere_premiere[[#This Row],[Entrepot]]</f>
        <v>Usine</v>
      </c>
      <c r="K469" s="9" t="b">
        <f>IF(Matiere_premiere[[#This Row],[INVENTAIRE]]&gt;0,TRUE,FALSE)</f>
        <v>0</v>
      </c>
      <c r="L469" s="66"/>
      <c r="M469" s="8" t="s">
        <v>103</v>
      </c>
      <c r="N469" s="8" t="s">
        <v>150</v>
      </c>
      <c r="O469" s="8" t="s">
        <v>149</v>
      </c>
      <c r="P469" s="8" t="s">
        <v>152</v>
      </c>
      <c r="Q469" s="53">
        <v>64414</v>
      </c>
      <c r="R469" s="8" t="s">
        <v>68</v>
      </c>
      <c r="S469" s="7">
        <v>0</v>
      </c>
      <c r="T469" s="7"/>
      <c r="U469" s="7"/>
      <c r="V469" s="7">
        <f>SUM(Matiere_premiere[[#This Row],[INVENTAIRE]],-Matiere_premiere[[#This Row],[Entrée]],-Matiere_premiere[[#This Row],[Sortis]])</f>
        <v>0</v>
      </c>
      <c r="W469" s="50" t="str">
        <f>CONCATENATE(Matiere_premiere[[#This Row],[CODE COLEUR]],"_",Matiere_premiere[[#This Row],[COULEUR]],"_",Matiere_premiere[[#This Row],[CODE FAB]],"_",Matiere_premiere[[#This Row],[Num de Lot]])</f>
        <v>C25_ORANGE_NM15-25.00_64414</v>
      </c>
    </row>
    <row r="470" spans="1:23" ht="19.7" customHeight="1" thickTop="1" thickBot="1" x14ac:dyDescent="0.3">
      <c r="A470" s="67" t="str">
        <f>Matiere_premiere[[#This Row],[NUMERO METRIQUE]]</f>
        <v>NM15</v>
      </c>
      <c r="B470" s="70" t="str">
        <f>Matiere_premiere[[#This Row],[COULEUR]]</f>
        <v>ORANGE</v>
      </c>
      <c r="C470" s="70" t="str">
        <f>Matiere_premiere[[#This Row],[CODE COLEUR]]</f>
        <v>C25</v>
      </c>
      <c r="D470" s="73" t="str">
        <f>Matiere_premiere[[#This Row],[CODE FAB]]</f>
        <v>NM15-25.00</v>
      </c>
      <c r="E470" s="76" t="e" vm="167">
        <f>_xlfn.IMAGE("https://api.qrserver.com/v1/create-qr-code/?size=100x100&amp;data=" &amp; D470)</f>
        <v>#VALUE!</v>
      </c>
      <c r="F470" s="78"/>
      <c r="G470" s="73">
        <f>Matiere_premiere[[#This Row],[Num de Lot]]</f>
        <v>65414</v>
      </c>
      <c r="H470" s="76" t="e" vm="170">
        <f>_xlfn.IMAGE("https://api.qrserver.com/v1/create-qr-code/?size=100x100&amp;data=" &amp; G470)</f>
        <v>#VALUE!</v>
      </c>
      <c r="I470" s="80"/>
      <c r="J470" s="12" t="str">
        <f>Matiere_premiere[[#This Row],[Entrepot]]</f>
        <v>E1</v>
      </c>
      <c r="K470" s="9" t="b">
        <f>IF(Matiere_premiere[[#This Row],[INVENTAIRE]]&gt;0,TRUE,FALSE)</f>
        <v>0</v>
      </c>
      <c r="L470" s="65"/>
      <c r="M470" s="16" t="s">
        <v>103</v>
      </c>
      <c r="N470" s="16" t="s">
        <v>150</v>
      </c>
      <c r="O470" s="16" t="s">
        <v>149</v>
      </c>
      <c r="P470" s="16" t="s">
        <v>152</v>
      </c>
      <c r="Q470" s="54">
        <v>65414</v>
      </c>
      <c r="R470" s="13" t="s">
        <v>75</v>
      </c>
      <c r="S470" s="14">
        <v>0</v>
      </c>
      <c r="T470" s="14"/>
      <c r="U470" s="14"/>
      <c r="V470" s="14">
        <f>SUM(Matiere_premiere[[#This Row],[INVENTAIRE]],-Matiere_premiere[[#This Row],[Entrée]],-Matiere_premiere[[#This Row],[Sortis]])</f>
        <v>0</v>
      </c>
      <c r="W470" s="50" t="str">
        <f>CONCATENATE(Matiere_premiere[[#This Row],[CODE COLEUR]],"_",Matiere_premiere[[#This Row],[COULEUR]],"_",Matiere_premiere[[#This Row],[CODE FAB]],"_",Matiere_premiere[[#This Row],[Num de Lot]])</f>
        <v>C25_ORANGE_NM15-25.00_65414</v>
      </c>
    </row>
    <row r="471" spans="1:23" ht="19.7" customHeight="1" thickBot="1" x14ac:dyDescent="0.3">
      <c r="A471" s="68"/>
      <c r="B471" s="71"/>
      <c r="C471" s="71"/>
      <c r="D471" s="74"/>
      <c r="E471" s="76"/>
      <c r="F471" s="78"/>
      <c r="G471" s="74"/>
      <c r="H471" s="76"/>
      <c r="I471" s="80"/>
      <c r="J471" s="11" t="str">
        <f>Matiere_premiere[[#This Row],[Entrepot]]</f>
        <v>E2</v>
      </c>
      <c r="K471" s="9" t="b">
        <f>IF(Matiere_premiere[[#This Row],[INVENTAIRE]]&gt;0,TRUE,FALSE)</f>
        <v>0</v>
      </c>
      <c r="L471" s="65"/>
      <c r="M471" s="16" t="s">
        <v>103</v>
      </c>
      <c r="N471" s="16" t="s">
        <v>150</v>
      </c>
      <c r="O471" s="16" t="s">
        <v>149</v>
      </c>
      <c r="P471" s="16" t="s">
        <v>152</v>
      </c>
      <c r="Q471" s="54">
        <v>65414</v>
      </c>
      <c r="R471" s="13" t="s">
        <v>74</v>
      </c>
      <c r="S471" s="14">
        <v>0</v>
      </c>
      <c r="T471" s="14"/>
      <c r="U471" s="14"/>
      <c r="V471" s="14">
        <f>SUM(Matiere_premiere[[#This Row],[INVENTAIRE]],-Matiere_premiere[[#This Row],[Entrée]],-Matiere_premiere[[#This Row],[Sortis]])</f>
        <v>0</v>
      </c>
      <c r="W471" s="50" t="str">
        <f>CONCATENATE(Matiere_premiere[[#This Row],[CODE COLEUR]],"_",Matiere_premiere[[#This Row],[COULEUR]],"_",Matiere_premiere[[#This Row],[CODE FAB]],"_",Matiere_premiere[[#This Row],[Num de Lot]])</f>
        <v>C25_ORANGE_NM15-25.00_65414</v>
      </c>
    </row>
    <row r="472" spans="1:23" ht="19.7" customHeight="1" thickBot="1" x14ac:dyDescent="0.3">
      <c r="A472" s="68"/>
      <c r="B472" s="71"/>
      <c r="C472" s="71"/>
      <c r="D472" s="74"/>
      <c r="E472" s="76"/>
      <c r="F472" s="78"/>
      <c r="G472" s="74"/>
      <c r="H472" s="76"/>
      <c r="I472" s="80"/>
      <c r="J472" s="11" t="str">
        <f>Matiere_premiere[[#This Row],[Entrepot]]</f>
        <v>E3</v>
      </c>
      <c r="K472" s="9" t="b">
        <f>IF(Matiere_premiere[[#This Row],[INVENTAIRE]]&gt;0,TRUE,FALSE)</f>
        <v>0</v>
      </c>
      <c r="L472" s="65"/>
      <c r="M472" s="16" t="s">
        <v>103</v>
      </c>
      <c r="N472" s="16" t="s">
        <v>150</v>
      </c>
      <c r="O472" s="16" t="s">
        <v>149</v>
      </c>
      <c r="P472" s="16" t="s">
        <v>152</v>
      </c>
      <c r="Q472" s="54">
        <v>65414</v>
      </c>
      <c r="R472" s="13" t="s">
        <v>73</v>
      </c>
      <c r="S472" s="14">
        <v>0</v>
      </c>
      <c r="T472" s="14"/>
      <c r="U472" s="14"/>
      <c r="V472" s="14">
        <f>SUM(Matiere_premiere[[#This Row],[INVENTAIRE]],-Matiere_premiere[[#This Row],[Entrée]],-Matiere_premiere[[#This Row],[Sortis]])</f>
        <v>0</v>
      </c>
      <c r="W472" s="50" t="str">
        <f>CONCATENATE(Matiere_premiere[[#This Row],[CODE COLEUR]],"_",Matiere_premiere[[#This Row],[COULEUR]],"_",Matiere_premiere[[#This Row],[CODE FAB]],"_",Matiere_premiere[[#This Row],[Num de Lot]])</f>
        <v>C25_ORANGE_NM15-25.00_65414</v>
      </c>
    </row>
    <row r="473" spans="1:23" ht="19.7" customHeight="1" thickBot="1" x14ac:dyDescent="0.3">
      <c r="A473" s="69"/>
      <c r="B473" s="72"/>
      <c r="C473" s="72"/>
      <c r="D473" s="75"/>
      <c r="E473" s="77"/>
      <c r="F473" s="79"/>
      <c r="G473" s="75"/>
      <c r="H473" s="77"/>
      <c r="I473" s="81"/>
      <c r="J473" s="10" t="str">
        <f>Matiere_premiere[[#This Row],[Entrepot]]</f>
        <v>Usine</v>
      </c>
      <c r="K473" s="9" t="b">
        <f>IF(Matiere_premiere[[#This Row],[INVENTAIRE]]&gt;0,TRUE,FALSE)</f>
        <v>0</v>
      </c>
      <c r="L473" s="66"/>
      <c r="M473" s="13" t="s">
        <v>103</v>
      </c>
      <c r="N473" s="13" t="s">
        <v>150</v>
      </c>
      <c r="O473" s="13" t="s">
        <v>149</v>
      </c>
      <c r="P473" s="13" t="s">
        <v>152</v>
      </c>
      <c r="Q473" s="55">
        <v>65414</v>
      </c>
      <c r="R473" s="13" t="s">
        <v>68</v>
      </c>
      <c r="S473" s="14">
        <v>0</v>
      </c>
      <c r="T473" s="14"/>
      <c r="U473" s="14"/>
      <c r="V473" s="14">
        <f>SUM(Matiere_premiere[[#This Row],[INVENTAIRE]],-Matiere_premiere[[#This Row],[Entrée]],-Matiere_premiere[[#This Row],[Sortis]])</f>
        <v>0</v>
      </c>
      <c r="W473" s="50" t="str">
        <f>CONCATENATE(Matiere_premiere[[#This Row],[CODE COLEUR]],"_",Matiere_premiere[[#This Row],[COULEUR]],"_",Matiere_premiere[[#This Row],[CODE FAB]],"_",Matiere_premiere[[#This Row],[Num de Lot]])</f>
        <v>C25_ORANGE_NM15-25.00_65414</v>
      </c>
    </row>
    <row r="474" spans="1:23" ht="19.7" customHeight="1" thickTop="1" thickBot="1" x14ac:dyDescent="0.3">
      <c r="A474" s="67" t="str">
        <f>Matiere_premiere[[#This Row],[NUMERO METRIQUE]]</f>
        <v>NM15</v>
      </c>
      <c r="B474" s="70" t="str">
        <f>Matiere_premiere[[#This Row],[COULEUR]]</f>
        <v>ORANGE</v>
      </c>
      <c r="C474" s="70" t="str">
        <f>Matiere_premiere[[#This Row],[CODE COLEUR]]</f>
        <v>C25</v>
      </c>
      <c r="D474" s="73" t="str">
        <f>Matiere_premiere[[#This Row],[CODE FAB]]</f>
        <v>NM15-25.01</v>
      </c>
      <c r="E474" s="76" t="e" vm="171">
        <f>_xlfn.IMAGE("https://api.qrserver.com/v1/create-qr-code/?size=100x100&amp;data=" &amp; D474)</f>
        <v>#VALUE!</v>
      </c>
      <c r="F474" s="78"/>
      <c r="G474" s="73" t="str">
        <f>Matiere_premiere[[#This Row],[Num de Lot]]</f>
        <v>S2023</v>
      </c>
      <c r="H474" s="76" t="e" vm="2">
        <f>_xlfn.IMAGE("https://api.qrserver.com/v1/create-qr-code/?size=100x100&amp;data=" &amp; G474)</f>
        <v>#VALUE!</v>
      </c>
      <c r="I474" s="80"/>
      <c r="J474" s="12" t="str">
        <f>Matiere_premiere[[#This Row],[Entrepot]]</f>
        <v>E1</v>
      </c>
      <c r="K474" s="9" t="b">
        <f>IF(Matiere_premiere[[#This Row],[INVENTAIRE]]&gt;0,TRUE,FALSE)</f>
        <v>1</v>
      </c>
      <c r="L474" s="65"/>
      <c r="M474" s="8" t="s">
        <v>103</v>
      </c>
      <c r="N474" s="8" t="s">
        <v>150</v>
      </c>
      <c r="O474" s="8" t="s">
        <v>149</v>
      </c>
      <c r="P474" s="8" t="s">
        <v>151</v>
      </c>
      <c r="Q474" s="53" t="s">
        <v>69</v>
      </c>
      <c r="R474" s="8" t="s">
        <v>75</v>
      </c>
      <c r="S474" s="7">
        <v>500.5</v>
      </c>
      <c r="T474" s="7"/>
      <c r="U474" s="7"/>
      <c r="V474" s="7">
        <f>SUM(Matiere_premiere[[#This Row],[INVENTAIRE]],-Matiere_premiere[[#This Row],[Entrée]],-Matiere_premiere[[#This Row],[Sortis]])</f>
        <v>500.5</v>
      </c>
      <c r="W474" s="50" t="str">
        <f>CONCATENATE(Matiere_premiere[[#This Row],[CODE COLEUR]],"_",Matiere_premiere[[#This Row],[COULEUR]],"_",Matiere_premiere[[#This Row],[CODE FAB]],"_",Matiere_premiere[[#This Row],[Num de Lot]])</f>
        <v>C25_ORANGE_NM15-25.01_S2023</v>
      </c>
    </row>
    <row r="475" spans="1:23" ht="19.7" customHeight="1" thickBot="1" x14ac:dyDescent="0.3">
      <c r="A475" s="68"/>
      <c r="B475" s="71"/>
      <c r="C475" s="71"/>
      <c r="D475" s="74"/>
      <c r="E475" s="76"/>
      <c r="F475" s="78"/>
      <c r="G475" s="74"/>
      <c r="H475" s="76"/>
      <c r="I475" s="80"/>
      <c r="J475" s="11" t="str">
        <f>Matiere_premiere[[#This Row],[Entrepot]]</f>
        <v>E2</v>
      </c>
      <c r="K475" s="9" t="b">
        <f>IF(Matiere_premiere[[#This Row],[INVENTAIRE]]&gt;0,TRUE,FALSE)</f>
        <v>0</v>
      </c>
      <c r="L475" s="65"/>
      <c r="M475" s="8" t="s">
        <v>103</v>
      </c>
      <c r="N475" s="8" t="s">
        <v>150</v>
      </c>
      <c r="O475" s="8" t="s">
        <v>149</v>
      </c>
      <c r="P475" s="8" t="s">
        <v>151</v>
      </c>
      <c r="Q475" s="53" t="s">
        <v>69</v>
      </c>
      <c r="R475" s="8" t="s">
        <v>74</v>
      </c>
      <c r="S475" s="7">
        <v>0</v>
      </c>
      <c r="T475" s="7"/>
      <c r="U475" s="7"/>
      <c r="V475" s="7">
        <f>SUM(Matiere_premiere[[#This Row],[INVENTAIRE]],-Matiere_premiere[[#This Row],[Entrée]],-Matiere_premiere[[#This Row],[Sortis]])</f>
        <v>0</v>
      </c>
      <c r="W475" s="50" t="str">
        <f>CONCATENATE(Matiere_premiere[[#This Row],[CODE COLEUR]],"_",Matiere_premiere[[#This Row],[COULEUR]],"_",Matiere_premiere[[#This Row],[CODE FAB]],"_",Matiere_premiere[[#This Row],[Num de Lot]])</f>
        <v>C25_ORANGE_NM15-25.01_S2023</v>
      </c>
    </row>
    <row r="476" spans="1:23" ht="19.7" customHeight="1" thickBot="1" x14ac:dyDescent="0.3">
      <c r="A476" s="68"/>
      <c r="B476" s="71"/>
      <c r="C476" s="71"/>
      <c r="D476" s="74"/>
      <c r="E476" s="76"/>
      <c r="F476" s="78"/>
      <c r="G476" s="74"/>
      <c r="H476" s="76"/>
      <c r="I476" s="80"/>
      <c r="J476" s="11" t="str">
        <f>Matiere_premiere[[#This Row],[Entrepot]]</f>
        <v>E3</v>
      </c>
      <c r="K476" s="9" t="b">
        <f>IF(Matiere_premiere[[#This Row],[INVENTAIRE]]&gt;0,TRUE,FALSE)</f>
        <v>0</v>
      </c>
      <c r="L476" s="65"/>
      <c r="M476" s="8" t="s">
        <v>103</v>
      </c>
      <c r="N476" s="8" t="s">
        <v>150</v>
      </c>
      <c r="O476" s="8" t="s">
        <v>149</v>
      </c>
      <c r="P476" s="8" t="s">
        <v>151</v>
      </c>
      <c r="Q476" s="53" t="s">
        <v>69</v>
      </c>
      <c r="R476" s="8" t="s">
        <v>73</v>
      </c>
      <c r="S476" s="7">
        <v>0</v>
      </c>
      <c r="T476" s="7"/>
      <c r="U476" s="7"/>
      <c r="V476" s="7">
        <f>SUM(Matiere_premiere[[#This Row],[INVENTAIRE]],-Matiere_premiere[[#This Row],[Entrée]],-Matiere_premiere[[#This Row],[Sortis]])</f>
        <v>0</v>
      </c>
      <c r="W476" s="50" t="str">
        <f>CONCATENATE(Matiere_premiere[[#This Row],[CODE COLEUR]],"_",Matiere_premiere[[#This Row],[COULEUR]],"_",Matiere_premiere[[#This Row],[CODE FAB]],"_",Matiere_premiere[[#This Row],[Num de Lot]])</f>
        <v>C25_ORANGE_NM15-25.01_S2023</v>
      </c>
    </row>
    <row r="477" spans="1:23" ht="19.7" customHeight="1" thickBot="1" x14ac:dyDescent="0.3">
      <c r="A477" s="69"/>
      <c r="B477" s="72"/>
      <c r="C477" s="72"/>
      <c r="D477" s="75"/>
      <c r="E477" s="77"/>
      <c r="F477" s="79"/>
      <c r="G477" s="75"/>
      <c r="H477" s="77"/>
      <c r="I477" s="81"/>
      <c r="J477" s="10" t="str">
        <f>Matiere_premiere[[#This Row],[Entrepot]]</f>
        <v>Usine</v>
      </c>
      <c r="K477" s="9" t="b">
        <f>IF(Matiere_premiere[[#This Row],[INVENTAIRE]]&gt;0,TRUE,FALSE)</f>
        <v>0</v>
      </c>
      <c r="L477" s="66"/>
      <c r="M477" s="8" t="s">
        <v>103</v>
      </c>
      <c r="N477" s="8" t="s">
        <v>150</v>
      </c>
      <c r="O477" s="8" t="s">
        <v>149</v>
      </c>
      <c r="P477" s="8" t="s">
        <v>151</v>
      </c>
      <c r="Q477" s="53" t="s">
        <v>69</v>
      </c>
      <c r="R477" s="8" t="s">
        <v>68</v>
      </c>
      <c r="S477" s="7">
        <v>0</v>
      </c>
      <c r="T477" s="7"/>
      <c r="U477" s="7"/>
      <c r="V477" s="7">
        <f>SUM(Matiere_premiere[[#This Row],[INVENTAIRE]],-Matiere_premiere[[#This Row],[Entrée]],-Matiere_premiere[[#This Row],[Sortis]])</f>
        <v>0</v>
      </c>
      <c r="W477" s="50" t="str">
        <f>CONCATENATE(Matiere_premiere[[#This Row],[CODE COLEUR]],"_",Matiere_premiere[[#This Row],[COULEUR]],"_",Matiere_premiere[[#This Row],[CODE FAB]],"_",Matiere_premiere[[#This Row],[Num de Lot]])</f>
        <v>C25_ORANGE_NM15-25.01_S2023</v>
      </c>
    </row>
    <row r="478" spans="1:23" ht="19.7" customHeight="1" thickTop="1" thickBot="1" x14ac:dyDescent="0.3">
      <c r="A478" s="67" t="str">
        <f>Matiere_premiere[[#This Row],[NUMERO METRIQUE]]</f>
        <v>NM20</v>
      </c>
      <c r="B478" s="70" t="str">
        <f>Matiere_premiere[[#This Row],[COULEUR]]</f>
        <v>ORANGE</v>
      </c>
      <c r="C478" s="70" t="str">
        <f>Matiere_premiere[[#This Row],[CODE COLEUR]]</f>
        <v>C25</v>
      </c>
      <c r="D478" s="73" t="str">
        <f>Matiere_premiere[[#This Row],[CODE FAB]]</f>
        <v>NM20-25.01</v>
      </c>
      <c r="E478" s="76" t="e" vm="172">
        <f>_xlfn.IMAGE("https://api.qrserver.com/v1/create-qr-code/?size=100x100&amp;data=" &amp; D478)</f>
        <v>#VALUE!</v>
      </c>
      <c r="F478" s="78"/>
      <c r="G478" s="73" t="str">
        <f>Matiere_premiere[[#This Row],[Num de Lot]]</f>
        <v>S2023</v>
      </c>
      <c r="H478" s="76" t="e" vm="2">
        <f>_xlfn.IMAGE("https://api.qrserver.com/v1/create-qr-code/?size=100x100&amp;data=" &amp; G478)</f>
        <v>#VALUE!</v>
      </c>
      <c r="I478" s="80"/>
      <c r="J478" s="12" t="str">
        <f>Matiere_premiere[[#This Row],[Entrepot]]</f>
        <v>E1</v>
      </c>
      <c r="K478" s="9" t="b">
        <f>IF(Matiere_premiere[[#This Row],[INVENTAIRE]]&gt;0,TRUE,FALSE)</f>
        <v>0</v>
      </c>
      <c r="L478" s="65"/>
      <c r="M478" s="13" t="s">
        <v>82</v>
      </c>
      <c r="N478" s="13" t="s">
        <v>150</v>
      </c>
      <c r="O478" s="13" t="s">
        <v>149</v>
      </c>
      <c r="P478" s="13" t="s">
        <v>148</v>
      </c>
      <c r="Q478" s="55" t="s">
        <v>69</v>
      </c>
      <c r="R478" s="13" t="s">
        <v>75</v>
      </c>
      <c r="S478" s="14">
        <v>0</v>
      </c>
      <c r="T478" s="14"/>
      <c r="U478" s="14"/>
      <c r="V478" s="14">
        <f>SUM(Matiere_premiere[[#This Row],[INVENTAIRE]],-Matiere_premiere[[#This Row],[Entrée]],-Matiere_premiere[[#This Row],[Sortis]])</f>
        <v>0</v>
      </c>
      <c r="W478" s="50" t="str">
        <f>CONCATENATE(Matiere_premiere[[#This Row],[CODE COLEUR]],"_",Matiere_premiere[[#This Row],[COULEUR]],"_",Matiere_premiere[[#This Row],[CODE FAB]],"_",Matiere_premiere[[#This Row],[Num de Lot]])</f>
        <v>C25_ORANGE_NM20-25.01_S2023</v>
      </c>
    </row>
    <row r="479" spans="1:23" ht="19.7" customHeight="1" thickBot="1" x14ac:dyDescent="0.3">
      <c r="A479" s="68"/>
      <c r="B479" s="71"/>
      <c r="C479" s="71"/>
      <c r="D479" s="74"/>
      <c r="E479" s="76"/>
      <c r="F479" s="78"/>
      <c r="G479" s="74"/>
      <c r="H479" s="76"/>
      <c r="I479" s="80"/>
      <c r="J479" s="11" t="str">
        <f>Matiere_premiere[[#This Row],[Entrepot]]</f>
        <v>E2</v>
      </c>
      <c r="K479" s="9" t="b">
        <f>IF(Matiere_premiere[[#This Row],[INVENTAIRE]]&gt;0,TRUE,FALSE)</f>
        <v>0</v>
      </c>
      <c r="L479" s="65"/>
      <c r="M479" s="13" t="s">
        <v>82</v>
      </c>
      <c r="N479" s="13" t="s">
        <v>150</v>
      </c>
      <c r="O479" s="13" t="s">
        <v>149</v>
      </c>
      <c r="P479" s="13" t="s">
        <v>148</v>
      </c>
      <c r="Q479" s="55" t="s">
        <v>69</v>
      </c>
      <c r="R479" s="13" t="s">
        <v>74</v>
      </c>
      <c r="S479" s="14">
        <v>0</v>
      </c>
      <c r="T479" s="14"/>
      <c r="U479" s="14"/>
      <c r="V479" s="14">
        <f>SUM(Matiere_premiere[[#This Row],[INVENTAIRE]],-Matiere_premiere[[#This Row],[Entrée]],-Matiere_premiere[[#This Row],[Sortis]])</f>
        <v>0</v>
      </c>
      <c r="W479" s="50" t="str">
        <f>CONCATENATE(Matiere_premiere[[#This Row],[CODE COLEUR]],"_",Matiere_premiere[[#This Row],[COULEUR]],"_",Matiere_premiere[[#This Row],[CODE FAB]],"_",Matiere_premiere[[#This Row],[Num de Lot]])</f>
        <v>C25_ORANGE_NM20-25.01_S2023</v>
      </c>
    </row>
    <row r="480" spans="1:23" ht="19.7" customHeight="1" thickBot="1" x14ac:dyDescent="0.3">
      <c r="A480" s="68"/>
      <c r="B480" s="71"/>
      <c r="C480" s="71"/>
      <c r="D480" s="74"/>
      <c r="E480" s="76"/>
      <c r="F480" s="78"/>
      <c r="G480" s="74"/>
      <c r="H480" s="76"/>
      <c r="I480" s="80"/>
      <c r="J480" s="11" t="str">
        <f>Matiere_premiere[[#This Row],[Entrepot]]</f>
        <v>E3</v>
      </c>
      <c r="K480" s="9" t="b">
        <f>IF(Matiere_premiere[[#This Row],[INVENTAIRE]]&gt;0,TRUE,FALSE)</f>
        <v>0</v>
      </c>
      <c r="L480" s="65"/>
      <c r="M480" s="13" t="s">
        <v>82</v>
      </c>
      <c r="N480" s="13" t="s">
        <v>150</v>
      </c>
      <c r="O480" s="13" t="s">
        <v>149</v>
      </c>
      <c r="P480" s="13" t="s">
        <v>148</v>
      </c>
      <c r="Q480" s="55" t="s">
        <v>69</v>
      </c>
      <c r="R480" s="13" t="s">
        <v>73</v>
      </c>
      <c r="S480" s="14">
        <v>0</v>
      </c>
      <c r="T480" s="14"/>
      <c r="U480" s="14"/>
      <c r="V480" s="14">
        <f>SUM(Matiere_premiere[[#This Row],[INVENTAIRE]],-Matiere_premiere[[#This Row],[Entrée]],-Matiere_premiere[[#This Row],[Sortis]])</f>
        <v>0</v>
      </c>
      <c r="W480" s="50" t="str">
        <f>CONCATENATE(Matiere_premiere[[#This Row],[CODE COLEUR]],"_",Matiere_premiere[[#This Row],[COULEUR]],"_",Matiere_premiere[[#This Row],[CODE FAB]],"_",Matiere_premiere[[#This Row],[Num de Lot]])</f>
        <v>C25_ORANGE_NM20-25.01_S2023</v>
      </c>
    </row>
    <row r="481" spans="1:23" ht="19.7" customHeight="1" thickBot="1" x14ac:dyDescent="0.3">
      <c r="A481" s="69"/>
      <c r="B481" s="72"/>
      <c r="C481" s="72"/>
      <c r="D481" s="75"/>
      <c r="E481" s="77"/>
      <c r="F481" s="79"/>
      <c r="G481" s="75"/>
      <c r="H481" s="77"/>
      <c r="I481" s="81"/>
      <c r="J481" s="10" t="str">
        <f>Matiere_premiere[[#This Row],[Entrepot]]</f>
        <v>Usine</v>
      </c>
      <c r="K481" s="9" t="b">
        <f>IF(Matiere_premiere[[#This Row],[INVENTAIRE]]&gt;0,TRUE,FALSE)</f>
        <v>1</v>
      </c>
      <c r="L481" s="66"/>
      <c r="M481" s="13" t="s">
        <v>82</v>
      </c>
      <c r="N481" s="13" t="s">
        <v>150</v>
      </c>
      <c r="O481" s="13" t="s">
        <v>149</v>
      </c>
      <c r="P481" s="13" t="s">
        <v>148</v>
      </c>
      <c r="Q481" s="55" t="s">
        <v>69</v>
      </c>
      <c r="R481" s="13" t="s">
        <v>68</v>
      </c>
      <c r="S481" s="14">
        <v>28</v>
      </c>
      <c r="T481" s="14"/>
      <c r="U481" s="14"/>
      <c r="V481" s="14">
        <f>SUM(Matiere_premiere[[#This Row],[INVENTAIRE]],-Matiere_premiere[[#This Row],[Entrée]],-Matiere_premiere[[#This Row],[Sortis]])</f>
        <v>28</v>
      </c>
      <c r="W481" s="50" t="str">
        <f>CONCATENATE(Matiere_premiere[[#This Row],[CODE COLEUR]],"_",Matiere_premiere[[#This Row],[COULEUR]],"_",Matiere_premiere[[#This Row],[CODE FAB]],"_",Matiere_premiere[[#This Row],[Num de Lot]])</f>
        <v>C25_ORANGE_NM20-25.01_S2023</v>
      </c>
    </row>
    <row r="482" spans="1:23" ht="19.7" customHeight="1" thickTop="1" thickBot="1" x14ac:dyDescent="0.3">
      <c r="A482" s="67" t="str">
        <f>Matiere_premiere[[#This Row],[NUMERO METRIQUE]]</f>
        <v>NM05</v>
      </c>
      <c r="B482" s="70" t="str">
        <f>Matiere_premiere[[#This Row],[COULEUR]]</f>
        <v>ROUGE FERRARI</v>
      </c>
      <c r="C482" s="70" t="str">
        <f>Matiere_premiere[[#This Row],[CODE COLEUR]]</f>
        <v>C26</v>
      </c>
      <c r="D482" s="73" t="str">
        <f>Matiere_premiere[[#This Row],[CODE FAB]]</f>
        <v>NM05-26.00</v>
      </c>
      <c r="E482" s="76" t="e" vm="173">
        <f>_xlfn.IMAGE("https://api.qrserver.com/v1/create-qr-code/?size=100x100&amp;data=" &amp; D482)</f>
        <v>#VALUE!</v>
      </c>
      <c r="F482" s="78"/>
      <c r="G482" s="73">
        <f>Matiere_premiere[[#This Row],[Num de Lot]]</f>
        <v>49914</v>
      </c>
      <c r="H482" s="76" t="e" vm="174">
        <f>_xlfn.IMAGE("https://api.qrserver.com/v1/create-qr-code/?size=100x100&amp;data=" &amp; G482)</f>
        <v>#VALUE!</v>
      </c>
      <c r="I482" s="80"/>
      <c r="J482" s="12" t="str">
        <f>Matiere_premiere[[#This Row],[Entrepot]]</f>
        <v>E1</v>
      </c>
      <c r="K482" s="9" t="b">
        <f>IF(Matiere_premiere[[#This Row],[INVENTAIRE]]&gt;0,TRUE,FALSE)</f>
        <v>0</v>
      </c>
      <c r="L482" s="65"/>
      <c r="M482" s="8" t="s">
        <v>119</v>
      </c>
      <c r="N482" s="8" t="s">
        <v>146</v>
      </c>
      <c r="O482" s="8" t="s">
        <v>145</v>
      </c>
      <c r="P482" s="8" t="s">
        <v>147</v>
      </c>
      <c r="Q482" s="53">
        <v>49914</v>
      </c>
      <c r="R482" s="8" t="s">
        <v>75</v>
      </c>
      <c r="S482" s="7">
        <v>0</v>
      </c>
      <c r="T482" s="7"/>
      <c r="U482" s="7"/>
      <c r="V482" s="7">
        <f>SUM(Matiere_premiere[[#This Row],[INVENTAIRE]],-Matiere_premiere[[#This Row],[Entrée]],-Matiere_premiere[[#This Row],[Sortis]])</f>
        <v>0</v>
      </c>
      <c r="W482" s="50" t="str">
        <f>CONCATENATE(Matiere_premiere[[#This Row],[CODE COLEUR]],"_",Matiere_premiere[[#This Row],[COULEUR]],"_",Matiere_premiere[[#This Row],[CODE FAB]],"_",Matiere_premiere[[#This Row],[Num de Lot]])</f>
        <v>C26_ROUGE FERRARI_NM05-26.00_49914</v>
      </c>
    </row>
    <row r="483" spans="1:23" ht="19.7" customHeight="1" thickBot="1" x14ac:dyDescent="0.3">
      <c r="A483" s="68"/>
      <c r="B483" s="71"/>
      <c r="C483" s="71"/>
      <c r="D483" s="74"/>
      <c r="E483" s="76"/>
      <c r="F483" s="78"/>
      <c r="G483" s="74"/>
      <c r="H483" s="76"/>
      <c r="I483" s="80"/>
      <c r="J483" s="11" t="str">
        <f>Matiere_premiere[[#This Row],[Entrepot]]</f>
        <v>E2</v>
      </c>
      <c r="K483" s="9" t="b">
        <f>IF(Matiere_premiere[[#This Row],[INVENTAIRE]]&gt;0,TRUE,FALSE)</f>
        <v>1</v>
      </c>
      <c r="L483" s="65"/>
      <c r="M483" s="8" t="s">
        <v>119</v>
      </c>
      <c r="N483" s="8" t="s">
        <v>146</v>
      </c>
      <c r="O483" s="8" t="s">
        <v>145</v>
      </c>
      <c r="P483" s="8" t="s">
        <v>147</v>
      </c>
      <c r="Q483" s="53">
        <v>49914</v>
      </c>
      <c r="R483" s="8" t="s">
        <v>74</v>
      </c>
      <c r="S483" s="7">
        <v>108.5</v>
      </c>
      <c r="T483" s="7"/>
      <c r="U483" s="7"/>
      <c r="V483" s="7">
        <f>SUM(Matiere_premiere[[#This Row],[INVENTAIRE]],-Matiere_premiere[[#This Row],[Entrée]],-Matiere_premiere[[#This Row],[Sortis]])</f>
        <v>108.5</v>
      </c>
      <c r="W483" s="50" t="str">
        <f>CONCATENATE(Matiere_premiere[[#This Row],[CODE COLEUR]],"_",Matiere_premiere[[#This Row],[COULEUR]],"_",Matiere_premiere[[#This Row],[CODE FAB]],"_",Matiere_premiere[[#This Row],[Num de Lot]])</f>
        <v>C26_ROUGE FERRARI_NM05-26.00_49914</v>
      </c>
    </row>
    <row r="484" spans="1:23" ht="19.7" customHeight="1" thickBot="1" x14ac:dyDescent="0.3">
      <c r="A484" s="68"/>
      <c r="B484" s="71"/>
      <c r="C484" s="71"/>
      <c r="D484" s="74"/>
      <c r="E484" s="76"/>
      <c r="F484" s="78"/>
      <c r="G484" s="74"/>
      <c r="H484" s="76"/>
      <c r="I484" s="80"/>
      <c r="J484" s="11" t="str">
        <f>Matiere_premiere[[#This Row],[Entrepot]]</f>
        <v>E3</v>
      </c>
      <c r="K484" s="9" t="b">
        <f>IF(Matiere_premiere[[#This Row],[INVENTAIRE]]&gt;0,TRUE,FALSE)</f>
        <v>0</v>
      </c>
      <c r="L484" s="65"/>
      <c r="M484" s="8" t="s">
        <v>119</v>
      </c>
      <c r="N484" s="8" t="s">
        <v>146</v>
      </c>
      <c r="O484" s="8" t="s">
        <v>145</v>
      </c>
      <c r="P484" s="8" t="s">
        <v>147</v>
      </c>
      <c r="Q484" s="53">
        <v>49914</v>
      </c>
      <c r="R484" s="8" t="s">
        <v>73</v>
      </c>
      <c r="S484" s="7">
        <v>0</v>
      </c>
      <c r="T484" s="7"/>
      <c r="U484" s="7"/>
      <c r="V484" s="7">
        <f>SUM(Matiere_premiere[[#This Row],[INVENTAIRE]],-Matiere_premiere[[#This Row],[Entrée]],-Matiere_premiere[[#This Row],[Sortis]])</f>
        <v>0</v>
      </c>
      <c r="W484" s="50" t="str">
        <f>CONCATENATE(Matiere_premiere[[#This Row],[CODE COLEUR]],"_",Matiere_premiere[[#This Row],[COULEUR]],"_",Matiere_premiere[[#This Row],[CODE FAB]],"_",Matiere_premiere[[#This Row],[Num de Lot]])</f>
        <v>C26_ROUGE FERRARI_NM05-26.00_49914</v>
      </c>
    </row>
    <row r="485" spans="1:23" ht="19.7" customHeight="1" thickBot="1" x14ac:dyDescent="0.3">
      <c r="A485" s="69"/>
      <c r="B485" s="72"/>
      <c r="C485" s="72"/>
      <c r="D485" s="75"/>
      <c r="E485" s="77"/>
      <c r="F485" s="79"/>
      <c r="G485" s="75"/>
      <c r="H485" s="77"/>
      <c r="I485" s="81"/>
      <c r="J485" s="10" t="str">
        <f>Matiere_premiere[[#This Row],[Entrepot]]</f>
        <v>Usine</v>
      </c>
      <c r="K485" s="9" t="b">
        <f>IF(Matiere_premiere[[#This Row],[INVENTAIRE]]&gt;0,TRUE,FALSE)</f>
        <v>1</v>
      </c>
      <c r="L485" s="66"/>
      <c r="M485" s="8" t="s">
        <v>119</v>
      </c>
      <c r="N485" s="8" t="s">
        <v>146</v>
      </c>
      <c r="O485" s="8" t="s">
        <v>145</v>
      </c>
      <c r="P485" s="8" t="s">
        <v>147</v>
      </c>
      <c r="Q485" s="53">
        <v>49914</v>
      </c>
      <c r="R485" s="8" t="s">
        <v>68</v>
      </c>
      <c r="S485" s="7">
        <v>7.5</v>
      </c>
      <c r="T485" s="7"/>
      <c r="U485" s="7"/>
      <c r="V485" s="7">
        <f>SUM(Matiere_premiere[[#This Row],[INVENTAIRE]],-Matiere_premiere[[#This Row],[Entrée]],-Matiere_premiere[[#This Row],[Sortis]])</f>
        <v>7.5</v>
      </c>
      <c r="W485" s="50" t="str">
        <f>CONCATENATE(Matiere_premiere[[#This Row],[CODE COLEUR]],"_",Matiere_premiere[[#This Row],[COULEUR]],"_",Matiere_premiere[[#This Row],[CODE FAB]],"_",Matiere_premiere[[#This Row],[Num de Lot]])</f>
        <v>C26_ROUGE FERRARI_NM05-26.00_49914</v>
      </c>
    </row>
    <row r="486" spans="1:23" ht="19.7" customHeight="1" thickTop="1" thickBot="1" x14ac:dyDescent="0.3">
      <c r="A486" s="67" t="str">
        <f>Matiere_premiere[[#This Row],[NUMERO METRIQUE]]</f>
        <v>NM15</v>
      </c>
      <c r="B486" s="70" t="str">
        <f>Matiere_premiere[[#This Row],[COULEUR]]</f>
        <v>ROUGE FERRARI</v>
      </c>
      <c r="C486" s="70" t="str">
        <f>Matiere_premiere[[#This Row],[CODE COLEUR]]</f>
        <v>C26</v>
      </c>
      <c r="D486" s="73" t="str">
        <f>Matiere_premiere[[#This Row],[CODE FAB]]</f>
        <v>NM15-26.00</v>
      </c>
      <c r="E486" s="76" t="e" vm="175">
        <f>_xlfn.IMAGE("https://api.qrserver.com/v1/create-qr-code/?size=100x100&amp;data=" &amp; D486)</f>
        <v>#VALUE!</v>
      </c>
      <c r="F486" s="78"/>
      <c r="G486" s="73">
        <f>Matiere_premiere[[#This Row],[Num de Lot]]</f>
        <v>61551</v>
      </c>
      <c r="H486" s="76" t="e" vm="176">
        <f>_xlfn.IMAGE("https://api.qrserver.com/v1/create-qr-code/?size=100x100&amp;data=" &amp; G486)</f>
        <v>#VALUE!</v>
      </c>
      <c r="I486" s="80"/>
      <c r="J486" s="12" t="str">
        <f>Matiere_premiere[[#This Row],[Entrepot]]</f>
        <v>E1</v>
      </c>
      <c r="K486" s="9" t="b">
        <f>IF(Matiere_premiere[[#This Row],[INVENTAIRE]]&gt;0,TRUE,FALSE)</f>
        <v>1</v>
      </c>
      <c r="L486" s="65"/>
      <c r="M486" s="13" t="s">
        <v>103</v>
      </c>
      <c r="N486" s="13" t="s">
        <v>146</v>
      </c>
      <c r="O486" s="13" t="s">
        <v>145</v>
      </c>
      <c r="P486" s="13" t="s">
        <v>144</v>
      </c>
      <c r="Q486" s="55">
        <v>61551</v>
      </c>
      <c r="R486" s="13" t="s">
        <v>75</v>
      </c>
      <c r="S486" s="14">
        <v>199.5</v>
      </c>
      <c r="T486" s="14"/>
      <c r="U486" s="14"/>
      <c r="V486" s="14">
        <f>SUM(Matiere_premiere[[#This Row],[INVENTAIRE]],-Matiere_premiere[[#This Row],[Entrée]],-Matiere_premiere[[#This Row],[Sortis]])</f>
        <v>199.5</v>
      </c>
      <c r="W486" s="50" t="str">
        <f>CONCATENATE(Matiere_premiere[[#This Row],[CODE COLEUR]],"_",Matiere_premiere[[#This Row],[COULEUR]],"_",Matiere_premiere[[#This Row],[CODE FAB]],"_",Matiere_premiere[[#This Row],[Num de Lot]])</f>
        <v>C26_ROUGE FERRARI_NM15-26.00_61551</v>
      </c>
    </row>
    <row r="487" spans="1:23" ht="19.7" customHeight="1" thickBot="1" x14ac:dyDescent="0.3">
      <c r="A487" s="68"/>
      <c r="B487" s="71"/>
      <c r="C487" s="71"/>
      <c r="D487" s="74"/>
      <c r="E487" s="76"/>
      <c r="F487" s="78"/>
      <c r="G487" s="74"/>
      <c r="H487" s="76"/>
      <c r="I487" s="80"/>
      <c r="J487" s="11" t="str">
        <f>Matiere_premiere[[#This Row],[Entrepot]]</f>
        <v>E2</v>
      </c>
      <c r="K487" s="9" t="b">
        <f>IF(Matiere_premiere[[#This Row],[INVENTAIRE]]&gt;0,TRUE,FALSE)</f>
        <v>0</v>
      </c>
      <c r="L487" s="65"/>
      <c r="M487" s="13" t="s">
        <v>103</v>
      </c>
      <c r="N487" s="13" t="s">
        <v>146</v>
      </c>
      <c r="O487" s="13" t="s">
        <v>145</v>
      </c>
      <c r="P487" s="13" t="s">
        <v>144</v>
      </c>
      <c r="Q487" s="55">
        <v>61551</v>
      </c>
      <c r="R487" s="13" t="s">
        <v>74</v>
      </c>
      <c r="S487" s="14">
        <v>0</v>
      </c>
      <c r="T487" s="14"/>
      <c r="U487" s="14"/>
      <c r="V487" s="14">
        <f>SUM(Matiere_premiere[[#This Row],[INVENTAIRE]],-Matiere_premiere[[#This Row],[Entrée]],-Matiere_premiere[[#This Row],[Sortis]])</f>
        <v>0</v>
      </c>
      <c r="W487" s="50" t="str">
        <f>CONCATENATE(Matiere_premiere[[#This Row],[CODE COLEUR]],"_",Matiere_premiere[[#This Row],[COULEUR]],"_",Matiere_premiere[[#This Row],[CODE FAB]],"_",Matiere_premiere[[#This Row],[Num de Lot]])</f>
        <v>C26_ROUGE FERRARI_NM15-26.00_61551</v>
      </c>
    </row>
    <row r="488" spans="1:23" ht="19.7" customHeight="1" thickBot="1" x14ac:dyDescent="0.3">
      <c r="A488" s="68"/>
      <c r="B488" s="71"/>
      <c r="C488" s="71"/>
      <c r="D488" s="74"/>
      <c r="E488" s="76"/>
      <c r="F488" s="78"/>
      <c r="G488" s="74"/>
      <c r="H488" s="76"/>
      <c r="I488" s="80"/>
      <c r="J488" s="11" t="str">
        <f>Matiere_premiere[[#This Row],[Entrepot]]</f>
        <v>E3</v>
      </c>
      <c r="K488" s="9" t="b">
        <f>IF(Matiere_premiere[[#This Row],[INVENTAIRE]]&gt;0,TRUE,FALSE)</f>
        <v>0</v>
      </c>
      <c r="L488" s="65"/>
      <c r="M488" s="13" t="s">
        <v>103</v>
      </c>
      <c r="N488" s="13" t="s">
        <v>146</v>
      </c>
      <c r="O488" s="13" t="s">
        <v>145</v>
      </c>
      <c r="P488" s="13" t="s">
        <v>144</v>
      </c>
      <c r="Q488" s="55">
        <v>61551</v>
      </c>
      <c r="R488" s="13" t="s">
        <v>73</v>
      </c>
      <c r="S488" s="14">
        <v>0</v>
      </c>
      <c r="T488" s="14"/>
      <c r="U488" s="14"/>
      <c r="V488" s="14">
        <f>SUM(Matiere_premiere[[#This Row],[INVENTAIRE]],-Matiere_premiere[[#This Row],[Entrée]],-Matiere_premiere[[#This Row],[Sortis]])</f>
        <v>0</v>
      </c>
      <c r="W488" s="50" t="str">
        <f>CONCATENATE(Matiere_premiere[[#This Row],[CODE COLEUR]],"_",Matiere_premiere[[#This Row],[COULEUR]],"_",Matiere_premiere[[#This Row],[CODE FAB]],"_",Matiere_premiere[[#This Row],[Num de Lot]])</f>
        <v>C26_ROUGE FERRARI_NM15-26.00_61551</v>
      </c>
    </row>
    <row r="489" spans="1:23" ht="19.7" customHeight="1" thickBot="1" x14ac:dyDescent="0.3">
      <c r="A489" s="69"/>
      <c r="B489" s="72"/>
      <c r="C489" s="72"/>
      <c r="D489" s="75"/>
      <c r="E489" s="77"/>
      <c r="F489" s="79"/>
      <c r="G489" s="75"/>
      <c r="H489" s="77"/>
      <c r="I489" s="81"/>
      <c r="J489" s="10" t="str">
        <f>Matiere_premiere[[#This Row],[Entrepot]]</f>
        <v>Usine</v>
      </c>
      <c r="K489" s="9" t="b">
        <f>IF(Matiere_premiere[[#This Row],[INVENTAIRE]]&gt;0,TRUE,FALSE)</f>
        <v>1</v>
      </c>
      <c r="L489" s="66"/>
      <c r="M489" s="13" t="s">
        <v>103</v>
      </c>
      <c r="N489" s="13" t="s">
        <v>146</v>
      </c>
      <c r="O489" s="13" t="s">
        <v>145</v>
      </c>
      <c r="P489" s="13" t="s">
        <v>144</v>
      </c>
      <c r="Q489" s="55">
        <v>61551</v>
      </c>
      <c r="R489" s="13" t="s">
        <v>68</v>
      </c>
      <c r="S489" s="14">
        <v>102</v>
      </c>
      <c r="T489" s="14"/>
      <c r="U489" s="14"/>
      <c r="V489" s="14">
        <f>SUM(Matiere_premiere[[#This Row],[INVENTAIRE]],-Matiere_premiere[[#This Row],[Entrée]],-Matiere_premiere[[#This Row],[Sortis]])</f>
        <v>102</v>
      </c>
      <c r="W489" s="50" t="str">
        <f>CONCATENATE(Matiere_premiere[[#This Row],[CODE COLEUR]],"_",Matiere_premiere[[#This Row],[COULEUR]],"_",Matiere_premiere[[#This Row],[CODE FAB]],"_",Matiere_premiere[[#This Row],[Num de Lot]])</f>
        <v>C26_ROUGE FERRARI_NM15-26.00_61551</v>
      </c>
    </row>
    <row r="490" spans="1:23" ht="19.7" customHeight="1" thickTop="1" thickBot="1" x14ac:dyDescent="0.3">
      <c r="A490" s="67" t="str">
        <f>Matiere_premiere[[#This Row],[NUMERO METRIQUE]]</f>
        <v>NM15</v>
      </c>
      <c r="B490" s="70" t="str">
        <f>Matiere_premiere[[#This Row],[COULEUR]]</f>
        <v>ROUGE FERRARI</v>
      </c>
      <c r="C490" s="70" t="str">
        <f>Matiere_premiere[[#This Row],[CODE COLEUR]]</f>
        <v>C26</v>
      </c>
      <c r="D490" s="73" t="str">
        <f>Matiere_premiere[[#This Row],[CODE FAB]]</f>
        <v>NM15-26.00</v>
      </c>
      <c r="E490" s="76" t="e" vm="175">
        <f>_xlfn.IMAGE("https://api.qrserver.com/v1/create-qr-code/?size=100x100&amp;data=" &amp; D490)</f>
        <v>#VALUE!</v>
      </c>
      <c r="F490" s="78"/>
      <c r="G490" s="73">
        <f>Matiere_premiere[[#This Row],[Num de Lot]]</f>
        <v>65344</v>
      </c>
      <c r="H490" s="76" t="e" vm="177">
        <f>_xlfn.IMAGE("https://api.qrserver.com/v1/create-qr-code/?size=100x100&amp;data=" &amp; G490)</f>
        <v>#VALUE!</v>
      </c>
      <c r="I490" s="80"/>
      <c r="J490" s="12" t="str">
        <f>Matiere_premiere[[#This Row],[Entrepot]]</f>
        <v>E1</v>
      </c>
      <c r="K490" s="9" t="b">
        <f>IF(Matiere_premiere[[#This Row],[INVENTAIRE]]&gt;0,TRUE,FALSE)</f>
        <v>0</v>
      </c>
      <c r="L490" s="65"/>
      <c r="M490" s="15" t="s">
        <v>103</v>
      </c>
      <c r="N490" s="15" t="s">
        <v>146</v>
      </c>
      <c r="O490" s="15" t="s">
        <v>145</v>
      </c>
      <c r="P490" s="15" t="s">
        <v>144</v>
      </c>
      <c r="Q490" s="56">
        <v>65344</v>
      </c>
      <c r="R490" s="8" t="s">
        <v>75</v>
      </c>
      <c r="S490" s="7">
        <v>0</v>
      </c>
      <c r="T490" s="7"/>
      <c r="U490" s="7"/>
      <c r="V490" s="7">
        <f>SUM(Matiere_premiere[[#This Row],[INVENTAIRE]],-Matiere_premiere[[#This Row],[Entrée]],-Matiere_premiere[[#This Row],[Sortis]])</f>
        <v>0</v>
      </c>
      <c r="W490" s="50" t="str">
        <f>CONCATENATE(Matiere_premiere[[#This Row],[CODE COLEUR]],"_",Matiere_premiere[[#This Row],[COULEUR]],"_",Matiere_premiere[[#This Row],[CODE FAB]],"_",Matiere_premiere[[#This Row],[Num de Lot]])</f>
        <v>C26_ROUGE FERRARI_NM15-26.00_65344</v>
      </c>
    </row>
    <row r="491" spans="1:23" ht="19.7" customHeight="1" thickBot="1" x14ac:dyDescent="0.3">
      <c r="A491" s="68"/>
      <c r="B491" s="71"/>
      <c r="C491" s="71"/>
      <c r="D491" s="74"/>
      <c r="E491" s="76"/>
      <c r="F491" s="78"/>
      <c r="G491" s="74"/>
      <c r="H491" s="76"/>
      <c r="I491" s="80"/>
      <c r="J491" s="11" t="str">
        <f>Matiere_premiere[[#This Row],[Entrepot]]</f>
        <v>E2</v>
      </c>
      <c r="K491" s="9" t="b">
        <f>IF(Matiere_premiere[[#This Row],[INVENTAIRE]]&gt;0,TRUE,FALSE)</f>
        <v>0</v>
      </c>
      <c r="L491" s="65"/>
      <c r="M491" s="15" t="s">
        <v>103</v>
      </c>
      <c r="N491" s="15" t="s">
        <v>146</v>
      </c>
      <c r="O491" s="15" t="s">
        <v>145</v>
      </c>
      <c r="P491" s="15" t="s">
        <v>144</v>
      </c>
      <c r="Q491" s="56">
        <v>65344</v>
      </c>
      <c r="R491" s="8" t="s">
        <v>74</v>
      </c>
      <c r="S491" s="7">
        <v>0</v>
      </c>
      <c r="T491" s="7"/>
      <c r="U491" s="7"/>
      <c r="V491" s="7">
        <f>SUM(Matiere_premiere[[#This Row],[INVENTAIRE]],-Matiere_premiere[[#This Row],[Entrée]],-Matiere_premiere[[#This Row],[Sortis]])</f>
        <v>0</v>
      </c>
      <c r="W491" s="50" t="str">
        <f>CONCATENATE(Matiere_premiere[[#This Row],[CODE COLEUR]],"_",Matiere_premiere[[#This Row],[COULEUR]],"_",Matiere_premiere[[#This Row],[CODE FAB]],"_",Matiere_premiere[[#This Row],[Num de Lot]])</f>
        <v>C26_ROUGE FERRARI_NM15-26.00_65344</v>
      </c>
    </row>
    <row r="492" spans="1:23" ht="19.7" customHeight="1" thickBot="1" x14ac:dyDescent="0.3">
      <c r="A492" s="68"/>
      <c r="B492" s="71"/>
      <c r="C492" s="71"/>
      <c r="D492" s="74"/>
      <c r="E492" s="76"/>
      <c r="F492" s="78"/>
      <c r="G492" s="74"/>
      <c r="H492" s="76"/>
      <c r="I492" s="80"/>
      <c r="J492" s="11" t="str">
        <f>Matiere_premiere[[#This Row],[Entrepot]]</f>
        <v>E3</v>
      </c>
      <c r="K492" s="9" t="b">
        <f>IF(Matiere_premiere[[#This Row],[INVENTAIRE]]&gt;0,TRUE,FALSE)</f>
        <v>0</v>
      </c>
      <c r="L492" s="65"/>
      <c r="M492" s="15" t="s">
        <v>103</v>
      </c>
      <c r="N492" s="15" t="s">
        <v>146</v>
      </c>
      <c r="O492" s="15" t="s">
        <v>145</v>
      </c>
      <c r="P492" s="15" t="s">
        <v>144</v>
      </c>
      <c r="Q492" s="56">
        <v>65344</v>
      </c>
      <c r="R492" s="8" t="s">
        <v>73</v>
      </c>
      <c r="S492" s="7">
        <v>0</v>
      </c>
      <c r="T492" s="7"/>
      <c r="U492" s="7"/>
      <c r="V492" s="7">
        <f>SUM(Matiere_premiere[[#This Row],[INVENTAIRE]],-Matiere_premiere[[#This Row],[Entrée]],-Matiere_premiere[[#This Row],[Sortis]])</f>
        <v>0</v>
      </c>
      <c r="W492" s="50" t="str">
        <f>CONCATENATE(Matiere_premiere[[#This Row],[CODE COLEUR]],"_",Matiere_premiere[[#This Row],[COULEUR]],"_",Matiere_premiere[[#This Row],[CODE FAB]],"_",Matiere_premiere[[#This Row],[Num de Lot]])</f>
        <v>C26_ROUGE FERRARI_NM15-26.00_65344</v>
      </c>
    </row>
    <row r="493" spans="1:23" ht="19.7" customHeight="1" thickBot="1" x14ac:dyDescent="0.3">
      <c r="A493" s="69"/>
      <c r="B493" s="72"/>
      <c r="C493" s="72"/>
      <c r="D493" s="75"/>
      <c r="E493" s="77"/>
      <c r="F493" s="79"/>
      <c r="G493" s="75"/>
      <c r="H493" s="77"/>
      <c r="I493" s="81"/>
      <c r="J493" s="10" t="str">
        <f>Matiere_premiere[[#This Row],[Entrepot]]</f>
        <v>Usine</v>
      </c>
      <c r="K493" s="9" t="b">
        <f>IF(Matiere_premiere[[#This Row],[INVENTAIRE]]&gt;0,TRUE,FALSE)</f>
        <v>0</v>
      </c>
      <c r="L493" s="66"/>
      <c r="M493" s="8" t="s">
        <v>103</v>
      </c>
      <c r="N493" s="8" t="s">
        <v>146</v>
      </c>
      <c r="O493" s="8" t="s">
        <v>145</v>
      </c>
      <c r="P493" s="8" t="s">
        <v>144</v>
      </c>
      <c r="Q493" s="53">
        <v>65344</v>
      </c>
      <c r="R493" s="8" t="s">
        <v>68</v>
      </c>
      <c r="S493" s="7">
        <v>0</v>
      </c>
      <c r="T493" s="7"/>
      <c r="U493" s="7"/>
      <c r="V493" s="7">
        <f>SUM(Matiere_premiere[[#This Row],[INVENTAIRE]],-Matiere_premiere[[#This Row],[Entrée]],-Matiere_premiere[[#This Row],[Sortis]])</f>
        <v>0</v>
      </c>
      <c r="W493" s="50" t="str">
        <f>CONCATENATE(Matiere_premiere[[#This Row],[CODE COLEUR]],"_",Matiere_premiere[[#This Row],[COULEUR]],"_",Matiere_premiere[[#This Row],[CODE FAB]],"_",Matiere_premiere[[#This Row],[Num de Lot]])</f>
        <v>C26_ROUGE FERRARI_NM15-26.00_65344</v>
      </c>
    </row>
    <row r="494" spans="1:23" ht="19.7" customHeight="1" thickTop="1" thickBot="1" x14ac:dyDescent="0.3">
      <c r="A494" s="67" t="str">
        <f>Matiere_premiere[[#This Row],[NUMERO METRIQUE]]</f>
        <v>NM07</v>
      </c>
      <c r="B494" s="70" t="str">
        <f>Matiere_premiere[[#This Row],[COULEUR]]</f>
        <v>ROUGE BORDEAU</v>
      </c>
      <c r="C494" s="70" t="str">
        <f>Matiere_premiere[[#This Row],[CODE COLEUR]]</f>
        <v>C27</v>
      </c>
      <c r="D494" s="73" t="str">
        <f>Matiere_premiere[[#This Row],[CODE FAB]]</f>
        <v>NM07/2-27.00</v>
      </c>
      <c r="E494" s="76" t="e" vm="178">
        <f>_xlfn.IMAGE("https://api.qrserver.com/v1/create-qr-code/?size=100x100&amp;data=" &amp; D494)</f>
        <v>#VALUE!</v>
      </c>
      <c r="F494" s="78"/>
      <c r="G494" s="73">
        <f>Matiere_premiere[[#This Row],[Num de Lot]]</f>
        <v>60703</v>
      </c>
      <c r="H494" s="76" t="e" vm="179">
        <f>_xlfn.IMAGE("https://api.qrserver.com/v1/create-qr-code/?size=100x100&amp;data=" &amp; G494)</f>
        <v>#VALUE!</v>
      </c>
      <c r="I494" s="80"/>
      <c r="J494" s="12" t="str">
        <f>Matiere_premiere[[#This Row],[Entrepot]]</f>
        <v>E1</v>
      </c>
      <c r="K494" s="9" t="b">
        <f>IF(Matiere_premiere[[#This Row],[INVENTAIRE]]&gt;0,TRUE,FALSE)</f>
        <v>0</v>
      </c>
      <c r="L494" s="65"/>
      <c r="M494" s="13" t="s">
        <v>143</v>
      </c>
      <c r="N494" s="13" t="s">
        <v>140</v>
      </c>
      <c r="O494" s="13" t="s">
        <v>139</v>
      </c>
      <c r="P494" s="13" t="s">
        <v>142</v>
      </c>
      <c r="Q494" s="55">
        <v>60703</v>
      </c>
      <c r="R494" s="13" t="s">
        <v>75</v>
      </c>
      <c r="S494" s="14">
        <v>0</v>
      </c>
      <c r="T494" s="14"/>
      <c r="U494" s="14"/>
      <c r="V494" s="14">
        <f>SUM(Matiere_premiere[[#This Row],[INVENTAIRE]],-Matiere_premiere[[#This Row],[Entrée]],-Matiere_premiere[[#This Row],[Sortis]])</f>
        <v>0</v>
      </c>
      <c r="W494" s="50" t="str">
        <f>CONCATENATE(Matiere_premiere[[#This Row],[CODE COLEUR]],"_",Matiere_premiere[[#This Row],[COULEUR]],"_",Matiere_premiere[[#This Row],[CODE FAB]],"_",Matiere_premiere[[#This Row],[Num de Lot]])</f>
        <v>C27_ROUGE BORDEAU_NM07/2-27.00_60703</v>
      </c>
    </row>
    <row r="495" spans="1:23" ht="19.7" customHeight="1" thickBot="1" x14ac:dyDescent="0.3">
      <c r="A495" s="68"/>
      <c r="B495" s="71"/>
      <c r="C495" s="71"/>
      <c r="D495" s="74"/>
      <c r="E495" s="76"/>
      <c r="F495" s="78"/>
      <c r="G495" s="74"/>
      <c r="H495" s="76"/>
      <c r="I495" s="80"/>
      <c r="J495" s="11" t="str">
        <f>Matiere_premiere[[#This Row],[Entrepot]]</f>
        <v>E2</v>
      </c>
      <c r="K495" s="9" t="b">
        <f>IF(Matiere_premiere[[#This Row],[INVENTAIRE]]&gt;0,TRUE,FALSE)</f>
        <v>1</v>
      </c>
      <c r="L495" s="65"/>
      <c r="M495" s="13" t="s">
        <v>143</v>
      </c>
      <c r="N495" s="13" t="s">
        <v>140</v>
      </c>
      <c r="O495" s="13" t="s">
        <v>139</v>
      </c>
      <c r="P495" s="13" t="s">
        <v>142</v>
      </c>
      <c r="Q495" s="55">
        <v>60703</v>
      </c>
      <c r="R495" s="13" t="s">
        <v>74</v>
      </c>
      <c r="S495" s="14">
        <v>518</v>
      </c>
      <c r="T495" s="14"/>
      <c r="U495" s="14"/>
      <c r="V495" s="14">
        <f>SUM(Matiere_premiere[[#This Row],[INVENTAIRE]],-Matiere_premiere[[#This Row],[Entrée]],-Matiere_premiere[[#This Row],[Sortis]])</f>
        <v>518</v>
      </c>
      <c r="W495" s="50" t="str">
        <f>CONCATENATE(Matiere_premiere[[#This Row],[CODE COLEUR]],"_",Matiere_premiere[[#This Row],[COULEUR]],"_",Matiere_premiere[[#This Row],[CODE FAB]],"_",Matiere_premiere[[#This Row],[Num de Lot]])</f>
        <v>C27_ROUGE BORDEAU_NM07/2-27.00_60703</v>
      </c>
    </row>
    <row r="496" spans="1:23" ht="19.7" customHeight="1" thickBot="1" x14ac:dyDescent="0.3">
      <c r="A496" s="68"/>
      <c r="B496" s="71"/>
      <c r="C496" s="71"/>
      <c r="D496" s="74"/>
      <c r="E496" s="76"/>
      <c r="F496" s="78"/>
      <c r="G496" s="74"/>
      <c r="H496" s="76"/>
      <c r="I496" s="80"/>
      <c r="J496" s="11" t="str">
        <f>Matiere_premiere[[#This Row],[Entrepot]]</f>
        <v>E3</v>
      </c>
      <c r="K496" s="9" t="b">
        <f>IF(Matiere_premiere[[#This Row],[INVENTAIRE]]&gt;0,TRUE,FALSE)</f>
        <v>1</v>
      </c>
      <c r="L496" s="65"/>
      <c r="M496" s="13" t="s">
        <v>143</v>
      </c>
      <c r="N496" s="13" t="s">
        <v>140</v>
      </c>
      <c r="O496" s="13" t="s">
        <v>139</v>
      </c>
      <c r="P496" s="13" t="s">
        <v>142</v>
      </c>
      <c r="Q496" s="55">
        <v>60703</v>
      </c>
      <c r="R496" s="13" t="s">
        <v>73</v>
      </c>
      <c r="S496" s="14">
        <v>546</v>
      </c>
      <c r="T496" s="14"/>
      <c r="U496" s="14"/>
      <c r="V496" s="14">
        <f>SUM(Matiere_premiere[[#This Row],[INVENTAIRE]],-Matiere_premiere[[#This Row],[Entrée]],-Matiere_premiere[[#This Row],[Sortis]])</f>
        <v>546</v>
      </c>
      <c r="W496" s="50" t="str">
        <f>CONCATENATE(Matiere_premiere[[#This Row],[CODE COLEUR]],"_",Matiere_premiere[[#This Row],[COULEUR]],"_",Matiere_premiere[[#This Row],[CODE FAB]],"_",Matiere_premiere[[#This Row],[Num de Lot]])</f>
        <v>C27_ROUGE BORDEAU_NM07/2-27.00_60703</v>
      </c>
    </row>
    <row r="497" spans="1:23" ht="19.7" customHeight="1" thickBot="1" x14ac:dyDescent="0.3">
      <c r="A497" s="69"/>
      <c r="B497" s="72"/>
      <c r="C497" s="72"/>
      <c r="D497" s="75"/>
      <c r="E497" s="77"/>
      <c r="F497" s="79"/>
      <c r="G497" s="75"/>
      <c r="H497" s="77"/>
      <c r="I497" s="81"/>
      <c r="J497" s="10" t="str">
        <f>Matiere_premiere[[#This Row],[Entrepot]]</f>
        <v>Usine</v>
      </c>
      <c r="K497" s="9" t="b">
        <f>IF(Matiere_premiere[[#This Row],[INVENTAIRE]]&gt;0,TRUE,FALSE)</f>
        <v>1</v>
      </c>
      <c r="L497" s="66"/>
      <c r="M497" s="13" t="s">
        <v>143</v>
      </c>
      <c r="N497" s="13" t="s">
        <v>140</v>
      </c>
      <c r="O497" s="13" t="s">
        <v>139</v>
      </c>
      <c r="P497" s="13" t="s">
        <v>142</v>
      </c>
      <c r="Q497" s="55">
        <v>60703</v>
      </c>
      <c r="R497" s="13" t="s">
        <v>68</v>
      </c>
      <c r="S497" s="14">
        <v>46</v>
      </c>
      <c r="T497" s="14"/>
      <c r="U497" s="14"/>
      <c r="V497" s="14">
        <f>SUM(Matiere_premiere[[#This Row],[INVENTAIRE]],-Matiere_premiere[[#This Row],[Entrée]],-Matiere_premiere[[#This Row],[Sortis]])</f>
        <v>46</v>
      </c>
      <c r="W497" s="50" t="str">
        <f>CONCATENATE(Matiere_premiere[[#This Row],[CODE COLEUR]],"_",Matiere_premiere[[#This Row],[COULEUR]],"_",Matiere_premiere[[#This Row],[CODE FAB]],"_",Matiere_premiere[[#This Row],[Num de Lot]])</f>
        <v>C27_ROUGE BORDEAU_NM07/2-27.00_60703</v>
      </c>
    </row>
    <row r="498" spans="1:23" ht="19.7" customHeight="1" thickTop="1" thickBot="1" x14ac:dyDescent="0.3">
      <c r="A498" s="67" t="str">
        <f>Matiere_premiere[[#This Row],[NUMERO METRIQUE]]</f>
        <v>NM15</v>
      </c>
      <c r="B498" s="70" t="str">
        <f>Matiere_premiere[[#This Row],[COULEUR]]</f>
        <v>ROUGE BORDEAU</v>
      </c>
      <c r="C498" s="70" t="str">
        <f>Matiere_premiere[[#This Row],[CODE COLEUR]]</f>
        <v>C27</v>
      </c>
      <c r="D498" s="73" t="str">
        <f>Matiere_premiere[[#This Row],[CODE FAB]]</f>
        <v>NM15-27.00</v>
      </c>
      <c r="E498" s="76" t="e" vm="180">
        <f>_xlfn.IMAGE("https://api.qrserver.com/v1/create-qr-code/?size=100x100&amp;data=" &amp; D498)</f>
        <v>#VALUE!</v>
      </c>
      <c r="F498" s="78"/>
      <c r="G498" s="73">
        <f>Matiere_premiere[[#This Row],[Num de Lot]]</f>
        <v>61518</v>
      </c>
      <c r="H498" s="76" t="e" vm="181">
        <f>_xlfn.IMAGE("https://api.qrserver.com/v1/create-qr-code/?size=100x100&amp;data=" &amp; G498)</f>
        <v>#VALUE!</v>
      </c>
      <c r="I498" s="80"/>
      <c r="J498" s="12" t="str">
        <f>Matiere_premiere[[#This Row],[Entrepot]]</f>
        <v>E1</v>
      </c>
      <c r="K498" s="9" t="b">
        <f>IF(Matiere_premiere[[#This Row],[INVENTAIRE]]&gt;0,TRUE,FALSE)</f>
        <v>1</v>
      </c>
      <c r="L498" s="65"/>
      <c r="M498" s="8" t="s">
        <v>103</v>
      </c>
      <c r="N498" s="8" t="s">
        <v>140</v>
      </c>
      <c r="O498" s="8" t="s">
        <v>139</v>
      </c>
      <c r="P498" s="8" t="s">
        <v>141</v>
      </c>
      <c r="Q498" s="53">
        <v>61518</v>
      </c>
      <c r="R498" s="8" t="s">
        <v>75</v>
      </c>
      <c r="S498" s="7">
        <v>1067.5</v>
      </c>
      <c r="T498" s="7"/>
      <c r="U498" s="7"/>
      <c r="V498" s="7">
        <f>SUM(Matiere_premiere[[#This Row],[INVENTAIRE]],-Matiere_premiere[[#This Row],[Entrée]],-Matiere_premiere[[#This Row],[Sortis]])</f>
        <v>1067.5</v>
      </c>
      <c r="W498" s="50" t="str">
        <f>CONCATENATE(Matiere_premiere[[#This Row],[CODE COLEUR]],"_",Matiere_premiere[[#This Row],[COULEUR]],"_",Matiere_premiere[[#This Row],[CODE FAB]],"_",Matiere_premiere[[#This Row],[Num de Lot]])</f>
        <v>C27_ROUGE BORDEAU_NM15-27.00_61518</v>
      </c>
    </row>
    <row r="499" spans="1:23" ht="19.7" customHeight="1" thickBot="1" x14ac:dyDescent="0.3">
      <c r="A499" s="68"/>
      <c r="B499" s="71"/>
      <c r="C499" s="71"/>
      <c r="D499" s="74"/>
      <c r="E499" s="76"/>
      <c r="F499" s="78"/>
      <c r="G499" s="74"/>
      <c r="H499" s="76"/>
      <c r="I499" s="80"/>
      <c r="J499" s="11" t="str">
        <f>Matiere_premiere[[#This Row],[Entrepot]]</f>
        <v>E2</v>
      </c>
      <c r="K499" s="9" t="b">
        <f>IF(Matiere_premiere[[#This Row],[INVENTAIRE]]&gt;0,TRUE,FALSE)</f>
        <v>0</v>
      </c>
      <c r="L499" s="65"/>
      <c r="M499" s="8" t="s">
        <v>103</v>
      </c>
      <c r="N499" s="8" t="s">
        <v>140</v>
      </c>
      <c r="O499" s="8" t="s">
        <v>139</v>
      </c>
      <c r="P499" s="8" t="s">
        <v>141</v>
      </c>
      <c r="Q499" s="53">
        <v>61518</v>
      </c>
      <c r="R499" s="8" t="s">
        <v>74</v>
      </c>
      <c r="S499" s="7">
        <v>0</v>
      </c>
      <c r="T499" s="7"/>
      <c r="U499" s="7"/>
      <c r="V499" s="7">
        <f>SUM(Matiere_premiere[[#This Row],[INVENTAIRE]],-Matiere_premiere[[#This Row],[Entrée]],-Matiere_premiere[[#This Row],[Sortis]])</f>
        <v>0</v>
      </c>
      <c r="W499" s="50" t="str">
        <f>CONCATENATE(Matiere_premiere[[#This Row],[CODE COLEUR]],"_",Matiere_premiere[[#This Row],[COULEUR]],"_",Matiere_premiere[[#This Row],[CODE FAB]],"_",Matiere_premiere[[#This Row],[Num de Lot]])</f>
        <v>C27_ROUGE BORDEAU_NM15-27.00_61518</v>
      </c>
    </row>
    <row r="500" spans="1:23" ht="19.7" customHeight="1" thickBot="1" x14ac:dyDescent="0.3">
      <c r="A500" s="68"/>
      <c r="B500" s="71"/>
      <c r="C500" s="71"/>
      <c r="D500" s="74"/>
      <c r="E500" s="76"/>
      <c r="F500" s="78"/>
      <c r="G500" s="74"/>
      <c r="H500" s="76"/>
      <c r="I500" s="80"/>
      <c r="J500" s="11" t="str">
        <f>Matiere_premiere[[#This Row],[Entrepot]]</f>
        <v>E3</v>
      </c>
      <c r="K500" s="9" t="b">
        <f>IF(Matiere_premiere[[#This Row],[INVENTAIRE]]&gt;0,TRUE,FALSE)</f>
        <v>0</v>
      </c>
      <c r="L500" s="65"/>
      <c r="M500" s="8" t="s">
        <v>103</v>
      </c>
      <c r="N500" s="8" t="s">
        <v>140</v>
      </c>
      <c r="O500" s="8" t="s">
        <v>139</v>
      </c>
      <c r="P500" s="8" t="s">
        <v>141</v>
      </c>
      <c r="Q500" s="53">
        <v>61518</v>
      </c>
      <c r="R500" s="8" t="s">
        <v>73</v>
      </c>
      <c r="S500" s="7">
        <v>0</v>
      </c>
      <c r="T500" s="7"/>
      <c r="U500" s="7"/>
      <c r="V500" s="7">
        <f>SUM(Matiere_premiere[[#This Row],[INVENTAIRE]],-Matiere_premiere[[#This Row],[Entrée]],-Matiere_premiere[[#This Row],[Sortis]])</f>
        <v>0</v>
      </c>
      <c r="W500" s="50" t="str">
        <f>CONCATENATE(Matiere_premiere[[#This Row],[CODE COLEUR]],"_",Matiere_premiere[[#This Row],[COULEUR]],"_",Matiere_premiere[[#This Row],[CODE FAB]],"_",Matiere_premiere[[#This Row],[Num de Lot]])</f>
        <v>C27_ROUGE BORDEAU_NM15-27.00_61518</v>
      </c>
    </row>
    <row r="501" spans="1:23" ht="19.7" customHeight="1" thickBot="1" x14ac:dyDescent="0.3">
      <c r="A501" s="69"/>
      <c r="B501" s="72"/>
      <c r="C501" s="72"/>
      <c r="D501" s="75"/>
      <c r="E501" s="77"/>
      <c r="F501" s="79"/>
      <c r="G501" s="75"/>
      <c r="H501" s="77"/>
      <c r="I501" s="81"/>
      <c r="J501" s="10" t="str">
        <f>Matiere_premiere[[#This Row],[Entrepot]]</f>
        <v>Usine</v>
      </c>
      <c r="K501" s="9" t="b">
        <f>IF(Matiere_premiere[[#This Row],[INVENTAIRE]]&gt;0,TRUE,FALSE)</f>
        <v>1</v>
      </c>
      <c r="L501" s="66"/>
      <c r="M501" s="8" t="s">
        <v>103</v>
      </c>
      <c r="N501" s="8" t="s">
        <v>140</v>
      </c>
      <c r="O501" s="8" t="s">
        <v>139</v>
      </c>
      <c r="P501" s="8" t="s">
        <v>141</v>
      </c>
      <c r="Q501" s="53">
        <v>61518</v>
      </c>
      <c r="R501" s="8" t="s">
        <v>68</v>
      </c>
      <c r="S501" s="7">
        <v>3.5</v>
      </c>
      <c r="T501" s="7"/>
      <c r="U501" s="7"/>
      <c r="V501" s="7">
        <f>SUM(Matiere_premiere[[#This Row],[INVENTAIRE]],-Matiere_premiere[[#This Row],[Entrée]],-Matiere_premiere[[#This Row],[Sortis]])</f>
        <v>3.5</v>
      </c>
      <c r="W501" s="50" t="str">
        <f>CONCATENATE(Matiere_premiere[[#This Row],[CODE COLEUR]],"_",Matiere_premiere[[#This Row],[COULEUR]],"_",Matiere_premiere[[#This Row],[CODE FAB]],"_",Matiere_premiere[[#This Row],[Num de Lot]])</f>
        <v>C27_ROUGE BORDEAU_NM15-27.00_61518</v>
      </c>
    </row>
    <row r="502" spans="1:23" ht="19.7" customHeight="1" thickTop="1" thickBot="1" x14ac:dyDescent="0.3">
      <c r="A502" s="67" t="str">
        <f>Matiere_premiere[[#This Row],[NUMERO METRIQUE]]</f>
        <v>NM15</v>
      </c>
      <c r="B502" s="70" t="str">
        <f>Matiere_premiere[[#This Row],[COULEUR]]</f>
        <v>ROUGE BORDEAU</v>
      </c>
      <c r="C502" s="70" t="str">
        <f>Matiere_premiere[[#This Row],[CODE COLEUR]]</f>
        <v>C27</v>
      </c>
      <c r="D502" s="73" t="str">
        <f>Matiere_premiere[[#This Row],[CODE FAB]]</f>
        <v>NM15-27.01</v>
      </c>
      <c r="E502" s="76" t="e" vm="182">
        <f>_xlfn.IMAGE("https://api.qrserver.com/v1/create-qr-code/?size=100x100&amp;data=" &amp; D502)</f>
        <v>#VALUE!</v>
      </c>
      <c r="F502" s="78"/>
      <c r="G502" s="73" t="str">
        <f>Matiere_premiere[[#This Row],[Num de Lot]]</f>
        <v>S2022</v>
      </c>
      <c r="H502" s="76" t="e" vm="82">
        <f>_xlfn.IMAGE("https://api.qrserver.com/v1/create-qr-code/?size=100x100&amp;data=" &amp; G502)</f>
        <v>#VALUE!</v>
      </c>
      <c r="I502" s="80"/>
      <c r="J502" s="12" t="str">
        <f>Matiere_premiere[[#This Row],[Entrepot]]</f>
        <v>E1</v>
      </c>
      <c r="K502" s="9" t="b">
        <f>IF(Matiere_premiere[[#This Row],[INVENTAIRE]]&gt;0,TRUE,FALSE)</f>
        <v>1</v>
      </c>
      <c r="L502" s="65"/>
      <c r="M502" s="13" t="s">
        <v>103</v>
      </c>
      <c r="N502" s="13" t="s">
        <v>140</v>
      </c>
      <c r="O502" s="13" t="s">
        <v>139</v>
      </c>
      <c r="P502" s="13" t="s">
        <v>138</v>
      </c>
      <c r="Q502" s="55" t="s">
        <v>107</v>
      </c>
      <c r="R502" s="13" t="s">
        <v>75</v>
      </c>
      <c r="S502" s="14">
        <v>2002</v>
      </c>
      <c r="T502" s="14"/>
      <c r="U502" s="14"/>
      <c r="V502" s="14">
        <f>SUM(Matiere_premiere[[#This Row],[INVENTAIRE]],-Matiere_premiere[[#This Row],[Entrée]],-Matiere_premiere[[#This Row],[Sortis]])</f>
        <v>2002</v>
      </c>
      <c r="W502" s="50" t="str">
        <f>CONCATENATE(Matiere_premiere[[#This Row],[CODE COLEUR]],"_",Matiere_premiere[[#This Row],[COULEUR]],"_",Matiere_premiere[[#This Row],[CODE FAB]],"_",Matiere_premiere[[#This Row],[Num de Lot]])</f>
        <v>C27_ROUGE BORDEAU_NM15-27.01_S2022</v>
      </c>
    </row>
    <row r="503" spans="1:23" ht="19.7" customHeight="1" thickBot="1" x14ac:dyDescent="0.3">
      <c r="A503" s="68"/>
      <c r="B503" s="71"/>
      <c r="C503" s="71"/>
      <c r="D503" s="74"/>
      <c r="E503" s="76"/>
      <c r="F503" s="78"/>
      <c r="G503" s="74"/>
      <c r="H503" s="76"/>
      <c r="I503" s="80"/>
      <c r="J503" s="11" t="str">
        <f>Matiere_premiere[[#This Row],[Entrepot]]</f>
        <v>E2</v>
      </c>
      <c r="K503" s="9" t="b">
        <f>IF(Matiere_premiere[[#This Row],[INVENTAIRE]]&gt;0,TRUE,FALSE)</f>
        <v>0</v>
      </c>
      <c r="L503" s="65"/>
      <c r="M503" s="13" t="s">
        <v>103</v>
      </c>
      <c r="N503" s="13" t="s">
        <v>140</v>
      </c>
      <c r="O503" s="13" t="s">
        <v>139</v>
      </c>
      <c r="P503" s="13" t="s">
        <v>138</v>
      </c>
      <c r="Q503" s="55" t="s">
        <v>107</v>
      </c>
      <c r="R503" s="13" t="s">
        <v>74</v>
      </c>
      <c r="S503" s="14">
        <v>0</v>
      </c>
      <c r="T503" s="14"/>
      <c r="U503" s="14"/>
      <c r="V503" s="14">
        <f>SUM(Matiere_premiere[[#This Row],[INVENTAIRE]],-Matiere_premiere[[#This Row],[Entrée]],-Matiere_premiere[[#This Row],[Sortis]])</f>
        <v>0</v>
      </c>
      <c r="W503" s="50" t="str">
        <f>CONCATENATE(Matiere_premiere[[#This Row],[CODE COLEUR]],"_",Matiere_premiere[[#This Row],[COULEUR]],"_",Matiere_premiere[[#This Row],[CODE FAB]],"_",Matiere_premiere[[#This Row],[Num de Lot]])</f>
        <v>C27_ROUGE BORDEAU_NM15-27.01_S2022</v>
      </c>
    </row>
    <row r="504" spans="1:23" ht="19.7" customHeight="1" thickBot="1" x14ac:dyDescent="0.3">
      <c r="A504" s="68"/>
      <c r="B504" s="71"/>
      <c r="C504" s="71"/>
      <c r="D504" s="74"/>
      <c r="E504" s="76"/>
      <c r="F504" s="78"/>
      <c r="G504" s="74"/>
      <c r="H504" s="76"/>
      <c r="I504" s="80"/>
      <c r="J504" s="11" t="str">
        <f>Matiere_premiere[[#This Row],[Entrepot]]</f>
        <v>E3</v>
      </c>
      <c r="K504" s="9" t="b">
        <f>IF(Matiere_premiere[[#This Row],[INVENTAIRE]]&gt;0,TRUE,FALSE)</f>
        <v>0</v>
      </c>
      <c r="L504" s="65"/>
      <c r="M504" s="13" t="s">
        <v>103</v>
      </c>
      <c r="N504" s="13" t="s">
        <v>140</v>
      </c>
      <c r="O504" s="13" t="s">
        <v>139</v>
      </c>
      <c r="P504" s="13" t="s">
        <v>138</v>
      </c>
      <c r="Q504" s="55" t="s">
        <v>107</v>
      </c>
      <c r="R504" s="13" t="s">
        <v>73</v>
      </c>
      <c r="S504" s="14">
        <v>0</v>
      </c>
      <c r="T504" s="14"/>
      <c r="U504" s="14"/>
      <c r="V504" s="14">
        <f>SUM(Matiere_premiere[[#This Row],[INVENTAIRE]],-Matiere_premiere[[#This Row],[Entrée]],-Matiere_premiere[[#This Row],[Sortis]])</f>
        <v>0</v>
      </c>
      <c r="W504" s="50" t="str">
        <f>CONCATENATE(Matiere_premiere[[#This Row],[CODE COLEUR]],"_",Matiere_premiere[[#This Row],[COULEUR]],"_",Matiere_premiere[[#This Row],[CODE FAB]],"_",Matiere_premiere[[#This Row],[Num de Lot]])</f>
        <v>C27_ROUGE BORDEAU_NM15-27.01_S2022</v>
      </c>
    </row>
    <row r="505" spans="1:23" ht="19.7" customHeight="1" thickBot="1" x14ac:dyDescent="0.3">
      <c r="A505" s="69"/>
      <c r="B505" s="72"/>
      <c r="C505" s="72"/>
      <c r="D505" s="75"/>
      <c r="E505" s="77"/>
      <c r="F505" s="79"/>
      <c r="G505" s="75"/>
      <c r="H505" s="77"/>
      <c r="I505" s="81"/>
      <c r="J505" s="10" t="str">
        <f>Matiere_premiere[[#This Row],[Entrepot]]</f>
        <v>Usine</v>
      </c>
      <c r="K505" s="9" t="b">
        <f>IF(Matiere_premiere[[#This Row],[INVENTAIRE]]&gt;0,TRUE,FALSE)</f>
        <v>1</v>
      </c>
      <c r="L505" s="66"/>
      <c r="M505" s="13" t="s">
        <v>103</v>
      </c>
      <c r="N505" s="13" t="s">
        <v>140</v>
      </c>
      <c r="O505" s="13" t="s">
        <v>139</v>
      </c>
      <c r="P505" s="13" t="s">
        <v>138</v>
      </c>
      <c r="Q505" s="55" t="s">
        <v>107</v>
      </c>
      <c r="R505" s="13" t="s">
        <v>68</v>
      </c>
      <c r="S505" s="14">
        <v>272</v>
      </c>
      <c r="T505" s="14"/>
      <c r="U505" s="14"/>
      <c r="V505" s="14">
        <f>SUM(Matiere_premiere[[#This Row],[INVENTAIRE]],-Matiere_premiere[[#This Row],[Entrée]],-Matiere_premiere[[#This Row],[Sortis]])</f>
        <v>272</v>
      </c>
      <c r="W505" s="50" t="str">
        <f>CONCATENATE(Matiere_premiere[[#This Row],[CODE COLEUR]],"_",Matiere_premiere[[#This Row],[COULEUR]],"_",Matiere_premiere[[#This Row],[CODE FAB]],"_",Matiere_premiere[[#This Row],[Num de Lot]])</f>
        <v>C27_ROUGE BORDEAU_NM15-27.01_S2022</v>
      </c>
    </row>
    <row r="506" spans="1:23" ht="19.7" customHeight="1" thickTop="1" thickBot="1" x14ac:dyDescent="0.3">
      <c r="A506" s="67" t="str">
        <f>Matiere_premiere[[#This Row],[NUMERO METRIQUE]]</f>
        <v>NM15</v>
      </c>
      <c r="B506" s="70" t="str">
        <f>Matiere_premiere[[#This Row],[COULEUR]]</f>
        <v>FRAMBOISE</v>
      </c>
      <c r="C506" s="70" t="str">
        <f>Matiere_premiere[[#This Row],[CODE COLEUR]]</f>
        <v>C28</v>
      </c>
      <c r="D506" s="73" t="str">
        <f>Matiere_premiere[[#This Row],[CODE FAB]]</f>
        <v>NM15-28.00</v>
      </c>
      <c r="E506" s="76" t="e" vm="183">
        <f>_xlfn.IMAGE("https://api.qrserver.com/v1/create-qr-code/?size=100x100&amp;data=" &amp; D506)</f>
        <v>#VALUE!</v>
      </c>
      <c r="F506" s="78"/>
      <c r="G506" s="73" t="str">
        <f>Matiere_premiere[[#This Row],[Num de Lot]]</f>
        <v>S2022</v>
      </c>
      <c r="H506" s="76" t="e" vm="82">
        <f>_xlfn.IMAGE("https://api.qrserver.com/v1/create-qr-code/?size=100x100&amp;data=" &amp; G506)</f>
        <v>#VALUE!</v>
      </c>
      <c r="I506" s="80"/>
      <c r="J506" s="12" t="str">
        <f>Matiere_premiere[[#This Row],[Entrepot]]</f>
        <v>E1</v>
      </c>
      <c r="K506" s="9" t="b">
        <f>IF(Matiere_premiere[[#This Row],[INVENTAIRE]]&gt;0,TRUE,FALSE)</f>
        <v>0</v>
      </c>
      <c r="L506" s="65"/>
      <c r="M506" s="8" t="s">
        <v>103</v>
      </c>
      <c r="N506" s="8" t="s">
        <v>136</v>
      </c>
      <c r="O506" s="8" t="s">
        <v>135</v>
      </c>
      <c r="P506" s="8" t="s">
        <v>137</v>
      </c>
      <c r="Q506" s="53" t="s">
        <v>107</v>
      </c>
      <c r="R506" s="8" t="s">
        <v>75</v>
      </c>
      <c r="S506" s="7">
        <v>0</v>
      </c>
      <c r="T506" s="7"/>
      <c r="U506" s="7"/>
      <c r="V506" s="7">
        <f>SUM(Matiere_premiere[[#This Row],[INVENTAIRE]],-Matiere_premiere[[#This Row],[Entrée]],-Matiere_premiere[[#This Row],[Sortis]])</f>
        <v>0</v>
      </c>
      <c r="W506" s="50" t="str">
        <f>CONCATENATE(Matiere_premiere[[#This Row],[CODE COLEUR]],"_",Matiere_premiere[[#This Row],[COULEUR]],"_",Matiere_premiere[[#This Row],[CODE FAB]],"_",Matiere_premiere[[#This Row],[Num de Lot]])</f>
        <v>C28_FRAMBOISE_NM15-28.00_S2022</v>
      </c>
    </row>
    <row r="507" spans="1:23" ht="19.7" customHeight="1" thickBot="1" x14ac:dyDescent="0.3">
      <c r="A507" s="68"/>
      <c r="B507" s="71"/>
      <c r="C507" s="71"/>
      <c r="D507" s="74"/>
      <c r="E507" s="76"/>
      <c r="F507" s="78"/>
      <c r="G507" s="74"/>
      <c r="H507" s="76"/>
      <c r="I507" s="80"/>
      <c r="J507" s="11" t="str">
        <f>Matiere_premiere[[#This Row],[Entrepot]]</f>
        <v>E2</v>
      </c>
      <c r="K507" s="9" t="b">
        <f>IF(Matiere_premiere[[#This Row],[INVENTAIRE]]&gt;0,TRUE,FALSE)</f>
        <v>0</v>
      </c>
      <c r="L507" s="65"/>
      <c r="M507" s="8" t="s">
        <v>103</v>
      </c>
      <c r="N507" s="8" t="s">
        <v>136</v>
      </c>
      <c r="O507" s="8" t="s">
        <v>135</v>
      </c>
      <c r="P507" s="8" t="s">
        <v>137</v>
      </c>
      <c r="Q507" s="53" t="s">
        <v>107</v>
      </c>
      <c r="R507" s="8" t="s">
        <v>74</v>
      </c>
      <c r="S507" s="7">
        <v>0</v>
      </c>
      <c r="T507" s="7"/>
      <c r="U507" s="7"/>
      <c r="V507" s="7">
        <f>SUM(Matiere_premiere[[#This Row],[INVENTAIRE]],-Matiere_premiere[[#This Row],[Entrée]],-Matiere_premiere[[#This Row],[Sortis]])</f>
        <v>0</v>
      </c>
      <c r="W507" s="50" t="str">
        <f>CONCATENATE(Matiere_premiere[[#This Row],[CODE COLEUR]],"_",Matiere_premiere[[#This Row],[COULEUR]],"_",Matiere_premiere[[#This Row],[CODE FAB]],"_",Matiere_premiere[[#This Row],[Num de Lot]])</f>
        <v>C28_FRAMBOISE_NM15-28.00_S2022</v>
      </c>
    </row>
    <row r="508" spans="1:23" ht="19.7" customHeight="1" thickBot="1" x14ac:dyDescent="0.3">
      <c r="A508" s="68"/>
      <c r="B508" s="71"/>
      <c r="C508" s="71"/>
      <c r="D508" s="74"/>
      <c r="E508" s="76"/>
      <c r="F508" s="78"/>
      <c r="G508" s="74"/>
      <c r="H508" s="76"/>
      <c r="I508" s="80"/>
      <c r="J508" s="11" t="str">
        <f>Matiere_premiere[[#This Row],[Entrepot]]</f>
        <v>E3</v>
      </c>
      <c r="K508" s="9" t="b">
        <f>IF(Matiere_premiere[[#This Row],[INVENTAIRE]]&gt;0,TRUE,FALSE)</f>
        <v>0</v>
      </c>
      <c r="L508" s="65"/>
      <c r="M508" s="8" t="s">
        <v>103</v>
      </c>
      <c r="N508" s="8" t="s">
        <v>136</v>
      </c>
      <c r="O508" s="8" t="s">
        <v>135</v>
      </c>
      <c r="P508" s="8" t="s">
        <v>137</v>
      </c>
      <c r="Q508" s="53" t="s">
        <v>107</v>
      </c>
      <c r="R508" s="8" t="s">
        <v>73</v>
      </c>
      <c r="S508" s="7">
        <v>0</v>
      </c>
      <c r="T508" s="7"/>
      <c r="U508" s="7"/>
      <c r="V508" s="7">
        <f>SUM(Matiere_premiere[[#This Row],[INVENTAIRE]],-Matiere_premiere[[#This Row],[Entrée]],-Matiere_premiere[[#This Row],[Sortis]])</f>
        <v>0</v>
      </c>
      <c r="W508" s="50" t="str">
        <f>CONCATENATE(Matiere_premiere[[#This Row],[CODE COLEUR]],"_",Matiere_premiere[[#This Row],[COULEUR]],"_",Matiere_premiere[[#This Row],[CODE FAB]],"_",Matiere_premiere[[#This Row],[Num de Lot]])</f>
        <v>C28_FRAMBOISE_NM15-28.00_S2022</v>
      </c>
    </row>
    <row r="509" spans="1:23" ht="19.7" customHeight="1" thickBot="1" x14ac:dyDescent="0.3">
      <c r="A509" s="69"/>
      <c r="B509" s="72"/>
      <c r="C509" s="72"/>
      <c r="D509" s="75"/>
      <c r="E509" s="77"/>
      <c r="F509" s="79"/>
      <c r="G509" s="75"/>
      <c r="H509" s="77"/>
      <c r="I509" s="81"/>
      <c r="J509" s="10" t="str">
        <f>Matiere_premiere[[#This Row],[Entrepot]]</f>
        <v>Usine</v>
      </c>
      <c r="K509" s="9" t="b">
        <f>IF(Matiere_premiere[[#This Row],[INVENTAIRE]]&gt;0,TRUE,FALSE)</f>
        <v>1</v>
      </c>
      <c r="L509" s="66"/>
      <c r="M509" s="8" t="s">
        <v>103</v>
      </c>
      <c r="N509" s="8" t="s">
        <v>136</v>
      </c>
      <c r="O509" s="8" t="s">
        <v>135</v>
      </c>
      <c r="P509" s="8" t="s">
        <v>137</v>
      </c>
      <c r="Q509" s="53" t="s">
        <v>107</v>
      </c>
      <c r="R509" s="8" t="s">
        <v>68</v>
      </c>
      <c r="S509" s="7">
        <v>112</v>
      </c>
      <c r="T509" s="7"/>
      <c r="U509" s="7"/>
      <c r="V509" s="7">
        <f>SUM(Matiere_premiere[[#This Row],[INVENTAIRE]],-Matiere_premiere[[#This Row],[Entrée]],-Matiere_premiere[[#This Row],[Sortis]])</f>
        <v>112</v>
      </c>
      <c r="W509" s="50" t="str">
        <f>CONCATENATE(Matiere_premiere[[#This Row],[CODE COLEUR]],"_",Matiere_premiere[[#This Row],[COULEUR]],"_",Matiere_premiere[[#This Row],[CODE FAB]],"_",Matiere_premiere[[#This Row],[Num de Lot]])</f>
        <v>C28_FRAMBOISE_NM15-28.00_S2022</v>
      </c>
    </row>
    <row r="510" spans="1:23" ht="19.7" customHeight="1" thickTop="1" thickBot="1" x14ac:dyDescent="0.3">
      <c r="A510" s="67" t="str">
        <f>Matiere_premiere[[#This Row],[NUMERO METRIQUE]]</f>
        <v>NM15</v>
      </c>
      <c r="B510" s="70" t="str">
        <f>Matiere_premiere[[#This Row],[COULEUR]]</f>
        <v>FRAMBOISE</v>
      </c>
      <c r="C510" s="70" t="str">
        <f>Matiere_premiere[[#This Row],[CODE COLEUR]]</f>
        <v>C28</v>
      </c>
      <c r="D510" s="73" t="str">
        <f>Matiere_premiere[[#This Row],[CODE FAB]]</f>
        <v>NM15-28.01</v>
      </c>
      <c r="E510" s="76" t="e" vm="184">
        <f>_xlfn.IMAGE("https://api.qrserver.com/v1/create-qr-code/?size=100x100&amp;data=" &amp; D510)</f>
        <v>#VALUE!</v>
      </c>
      <c r="F510" s="78"/>
      <c r="G510" s="73">
        <f>Matiere_premiere[[#This Row],[Num de Lot]]</f>
        <v>61639</v>
      </c>
      <c r="H510" s="76" t="e" vm="185">
        <f>_xlfn.IMAGE("https://api.qrserver.com/v1/create-qr-code/?size=100x100&amp;data=" &amp; G510)</f>
        <v>#VALUE!</v>
      </c>
      <c r="I510" s="80"/>
      <c r="J510" s="12" t="str">
        <f>Matiere_premiere[[#This Row],[Entrepot]]</f>
        <v>E1</v>
      </c>
      <c r="K510" s="9" t="b">
        <f>IF(Matiere_premiere[[#This Row],[INVENTAIRE]]&gt;0,TRUE,FALSE)</f>
        <v>1</v>
      </c>
      <c r="L510" s="65"/>
      <c r="M510" s="13" t="s">
        <v>103</v>
      </c>
      <c r="N510" s="13" t="s">
        <v>136</v>
      </c>
      <c r="O510" s="13" t="s">
        <v>135</v>
      </c>
      <c r="P510" s="13" t="s">
        <v>134</v>
      </c>
      <c r="Q510" s="55">
        <v>61639</v>
      </c>
      <c r="R510" s="13" t="s">
        <v>75</v>
      </c>
      <c r="S510" s="14">
        <v>1501.5</v>
      </c>
      <c r="T510" s="14"/>
      <c r="U510" s="14"/>
      <c r="V510" s="14">
        <f>SUM(Matiere_premiere[[#This Row],[INVENTAIRE]],-Matiere_premiere[[#This Row],[Entrée]],-Matiere_premiere[[#This Row],[Sortis]])</f>
        <v>1501.5</v>
      </c>
      <c r="W510" s="50" t="str">
        <f>CONCATENATE(Matiere_premiere[[#This Row],[CODE COLEUR]],"_",Matiere_premiere[[#This Row],[COULEUR]],"_",Matiere_premiere[[#This Row],[CODE FAB]],"_",Matiere_premiere[[#This Row],[Num de Lot]])</f>
        <v>C28_FRAMBOISE_NM15-28.01_61639</v>
      </c>
    </row>
    <row r="511" spans="1:23" ht="19.7" customHeight="1" thickBot="1" x14ac:dyDescent="0.3">
      <c r="A511" s="68"/>
      <c r="B511" s="71"/>
      <c r="C511" s="71"/>
      <c r="D511" s="74"/>
      <c r="E511" s="76"/>
      <c r="F511" s="78"/>
      <c r="G511" s="74"/>
      <c r="H511" s="76"/>
      <c r="I511" s="80"/>
      <c r="J511" s="11" t="str">
        <f>Matiere_premiere[[#This Row],[Entrepot]]</f>
        <v>E2</v>
      </c>
      <c r="K511" s="9" t="b">
        <f>IF(Matiere_premiere[[#This Row],[INVENTAIRE]]&gt;0,TRUE,FALSE)</f>
        <v>0</v>
      </c>
      <c r="L511" s="65"/>
      <c r="M511" s="13" t="s">
        <v>103</v>
      </c>
      <c r="N511" s="13" t="s">
        <v>136</v>
      </c>
      <c r="O511" s="13" t="s">
        <v>135</v>
      </c>
      <c r="P511" s="13" t="s">
        <v>134</v>
      </c>
      <c r="Q511" s="55">
        <v>61639</v>
      </c>
      <c r="R511" s="13" t="s">
        <v>74</v>
      </c>
      <c r="S511" s="14">
        <v>0</v>
      </c>
      <c r="T511" s="14"/>
      <c r="U511" s="14"/>
      <c r="V511" s="14">
        <f>SUM(Matiere_premiere[[#This Row],[INVENTAIRE]],-Matiere_premiere[[#This Row],[Entrée]],-Matiere_premiere[[#This Row],[Sortis]])</f>
        <v>0</v>
      </c>
      <c r="W511" s="50" t="str">
        <f>CONCATENATE(Matiere_premiere[[#This Row],[CODE COLEUR]],"_",Matiere_premiere[[#This Row],[COULEUR]],"_",Matiere_premiere[[#This Row],[CODE FAB]],"_",Matiere_premiere[[#This Row],[Num de Lot]])</f>
        <v>C28_FRAMBOISE_NM15-28.01_61639</v>
      </c>
    </row>
    <row r="512" spans="1:23" ht="19.7" customHeight="1" thickBot="1" x14ac:dyDescent="0.3">
      <c r="A512" s="68"/>
      <c r="B512" s="71"/>
      <c r="C512" s="71"/>
      <c r="D512" s="74"/>
      <c r="E512" s="76"/>
      <c r="F512" s="78"/>
      <c r="G512" s="74"/>
      <c r="H512" s="76"/>
      <c r="I512" s="80"/>
      <c r="J512" s="11" t="str">
        <f>Matiere_premiere[[#This Row],[Entrepot]]</f>
        <v>E3</v>
      </c>
      <c r="K512" s="9" t="b">
        <f>IF(Matiere_premiere[[#This Row],[INVENTAIRE]]&gt;0,TRUE,FALSE)</f>
        <v>0</v>
      </c>
      <c r="L512" s="65"/>
      <c r="M512" s="13" t="s">
        <v>103</v>
      </c>
      <c r="N512" s="13" t="s">
        <v>136</v>
      </c>
      <c r="O512" s="13" t="s">
        <v>135</v>
      </c>
      <c r="P512" s="13" t="s">
        <v>134</v>
      </c>
      <c r="Q512" s="55">
        <v>61639</v>
      </c>
      <c r="R512" s="13" t="s">
        <v>73</v>
      </c>
      <c r="S512" s="14">
        <v>0</v>
      </c>
      <c r="T512" s="14"/>
      <c r="U512" s="14"/>
      <c r="V512" s="14">
        <f>SUM(Matiere_premiere[[#This Row],[INVENTAIRE]],-Matiere_premiere[[#This Row],[Entrée]],-Matiere_premiere[[#This Row],[Sortis]])</f>
        <v>0</v>
      </c>
      <c r="W512" s="50" t="str">
        <f>CONCATENATE(Matiere_premiere[[#This Row],[CODE COLEUR]],"_",Matiere_premiere[[#This Row],[COULEUR]],"_",Matiere_premiere[[#This Row],[CODE FAB]],"_",Matiere_premiere[[#This Row],[Num de Lot]])</f>
        <v>C28_FRAMBOISE_NM15-28.01_61639</v>
      </c>
    </row>
    <row r="513" spans="1:23" ht="19.7" customHeight="1" thickBot="1" x14ac:dyDescent="0.3">
      <c r="A513" s="69"/>
      <c r="B513" s="72"/>
      <c r="C513" s="72"/>
      <c r="D513" s="75"/>
      <c r="E513" s="77"/>
      <c r="F513" s="79"/>
      <c r="G513" s="75"/>
      <c r="H513" s="77"/>
      <c r="I513" s="81"/>
      <c r="J513" s="10" t="str">
        <f>Matiere_premiere[[#This Row],[Entrepot]]</f>
        <v>Usine</v>
      </c>
      <c r="K513" s="9" t="b">
        <f>IF(Matiere_premiere[[#This Row],[INVENTAIRE]]&gt;0,TRUE,FALSE)</f>
        <v>1</v>
      </c>
      <c r="L513" s="66"/>
      <c r="M513" s="13" t="s">
        <v>103</v>
      </c>
      <c r="N513" s="13" t="s">
        <v>136</v>
      </c>
      <c r="O513" s="13" t="s">
        <v>135</v>
      </c>
      <c r="P513" s="13" t="s">
        <v>134</v>
      </c>
      <c r="Q513" s="55">
        <v>61639</v>
      </c>
      <c r="R513" s="13" t="s">
        <v>68</v>
      </c>
      <c r="S513" s="14">
        <v>386</v>
      </c>
      <c r="T513" s="14"/>
      <c r="U513" s="14"/>
      <c r="V513" s="14">
        <f>SUM(Matiere_premiere[[#This Row],[INVENTAIRE]],-Matiere_premiere[[#This Row],[Entrée]],-Matiere_premiere[[#This Row],[Sortis]])</f>
        <v>386</v>
      </c>
      <c r="W513" s="50" t="str">
        <f>CONCATENATE(Matiere_premiere[[#This Row],[CODE COLEUR]],"_",Matiere_premiere[[#This Row],[COULEUR]],"_",Matiere_premiere[[#This Row],[CODE FAB]],"_",Matiere_premiere[[#This Row],[Num de Lot]])</f>
        <v>C28_FRAMBOISE_NM15-28.01_61639</v>
      </c>
    </row>
    <row r="514" spans="1:23" ht="19.7" customHeight="1" thickTop="1" thickBot="1" x14ac:dyDescent="0.3">
      <c r="A514" s="67" t="str">
        <f>Matiere_premiere[[#This Row],[NUMERO METRIQUE]]</f>
        <v>NM15</v>
      </c>
      <c r="B514" s="70" t="str">
        <f>Matiere_premiere[[#This Row],[COULEUR]]</f>
        <v>FUSHIA</v>
      </c>
      <c r="C514" s="70" t="str">
        <f>Matiere_premiere[[#This Row],[CODE COLEUR]]</f>
        <v>C29</v>
      </c>
      <c r="D514" s="73" t="str">
        <f>Matiere_premiere[[#This Row],[CODE FAB]]</f>
        <v>NM15-29.00</v>
      </c>
      <c r="E514" s="76" t="e" vm="186">
        <f>_xlfn.IMAGE("https://api.qrserver.com/v1/create-qr-code/?size=100x100&amp;data=" &amp; D514)</f>
        <v>#VALUE!</v>
      </c>
      <c r="F514" s="78"/>
      <c r="G514" s="73">
        <f>Matiere_premiere[[#This Row],[Num de Lot]]</f>
        <v>61549</v>
      </c>
      <c r="H514" s="76" t="e" vm="187">
        <f>_xlfn.IMAGE("https://api.qrserver.com/v1/create-qr-code/?size=100x100&amp;data=" &amp; G514)</f>
        <v>#VALUE!</v>
      </c>
      <c r="I514" s="80"/>
      <c r="J514" s="12" t="str">
        <f>Matiere_premiere[[#This Row],[Entrepot]]</f>
        <v>E1</v>
      </c>
      <c r="K514" s="9" t="b">
        <f>IF(Matiere_premiere[[#This Row],[INVENTAIRE]]&gt;0,TRUE,FALSE)</f>
        <v>1</v>
      </c>
      <c r="L514" s="65"/>
      <c r="M514" s="8" t="s">
        <v>103</v>
      </c>
      <c r="N514" s="8" t="s">
        <v>131</v>
      </c>
      <c r="O514" s="8" t="s">
        <v>130</v>
      </c>
      <c r="P514" s="8" t="s">
        <v>133</v>
      </c>
      <c r="Q514" s="53">
        <v>61549</v>
      </c>
      <c r="R514" s="8" t="s">
        <v>75</v>
      </c>
      <c r="S514" s="7">
        <v>298</v>
      </c>
      <c r="T514" s="7"/>
      <c r="U514" s="7"/>
      <c r="V514" s="7">
        <f>SUM(Matiere_premiere[[#This Row],[INVENTAIRE]],-Matiere_premiere[[#This Row],[Entrée]],-Matiere_premiere[[#This Row],[Sortis]])</f>
        <v>298</v>
      </c>
      <c r="W514" s="50" t="str">
        <f>CONCATENATE(Matiere_premiere[[#This Row],[CODE COLEUR]],"_",Matiere_premiere[[#This Row],[COULEUR]],"_",Matiere_premiere[[#This Row],[CODE FAB]],"_",Matiere_premiere[[#This Row],[Num de Lot]])</f>
        <v>C29_FUSHIA_NM15-29.00_61549</v>
      </c>
    </row>
    <row r="515" spans="1:23" ht="19.7" customHeight="1" thickBot="1" x14ac:dyDescent="0.3">
      <c r="A515" s="68"/>
      <c r="B515" s="71"/>
      <c r="C515" s="71"/>
      <c r="D515" s="74"/>
      <c r="E515" s="76"/>
      <c r="F515" s="78"/>
      <c r="G515" s="74"/>
      <c r="H515" s="76"/>
      <c r="I515" s="80"/>
      <c r="J515" s="11" t="str">
        <f>Matiere_premiere[[#This Row],[Entrepot]]</f>
        <v>E2</v>
      </c>
      <c r="K515" s="9" t="b">
        <f>IF(Matiere_premiere[[#This Row],[INVENTAIRE]]&gt;0,TRUE,FALSE)</f>
        <v>0</v>
      </c>
      <c r="L515" s="65"/>
      <c r="M515" s="8" t="s">
        <v>103</v>
      </c>
      <c r="N515" s="8" t="s">
        <v>131</v>
      </c>
      <c r="O515" s="8" t="s">
        <v>130</v>
      </c>
      <c r="P515" s="8" t="s">
        <v>133</v>
      </c>
      <c r="Q515" s="53">
        <v>61549</v>
      </c>
      <c r="R515" s="8" t="s">
        <v>74</v>
      </c>
      <c r="S515" s="7">
        <v>0</v>
      </c>
      <c r="T515" s="7"/>
      <c r="U515" s="7"/>
      <c r="V515" s="7">
        <f>SUM(Matiere_premiere[[#This Row],[INVENTAIRE]],-Matiere_premiere[[#This Row],[Entrée]],-Matiere_premiere[[#This Row],[Sortis]])</f>
        <v>0</v>
      </c>
      <c r="W515" s="50" t="str">
        <f>CONCATENATE(Matiere_premiere[[#This Row],[CODE COLEUR]],"_",Matiere_premiere[[#This Row],[COULEUR]],"_",Matiere_premiere[[#This Row],[CODE FAB]],"_",Matiere_premiere[[#This Row],[Num de Lot]])</f>
        <v>C29_FUSHIA_NM15-29.00_61549</v>
      </c>
    </row>
    <row r="516" spans="1:23" ht="19.7" customHeight="1" thickBot="1" x14ac:dyDescent="0.3">
      <c r="A516" s="68"/>
      <c r="B516" s="71"/>
      <c r="C516" s="71"/>
      <c r="D516" s="74"/>
      <c r="E516" s="76"/>
      <c r="F516" s="78"/>
      <c r="G516" s="74"/>
      <c r="H516" s="76"/>
      <c r="I516" s="80"/>
      <c r="J516" s="11" t="str">
        <f>Matiere_premiere[[#This Row],[Entrepot]]</f>
        <v>E3</v>
      </c>
      <c r="K516" s="9" t="b">
        <f>IF(Matiere_premiere[[#This Row],[INVENTAIRE]]&gt;0,TRUE,FALSE)</f>
        <v>0</v>
      </c>
      <c r="L516" s="65"/>
      <c r="M516" s="8" t="s">
        <v>103</v>
      </c>
      <c r="N516" s="8" t="s">
        <v>131</v>
      </c>
      <c r="O516" s="8" t="s">
        <v>130</v>
      </c>
      <c r="P516" s="8" t="s">
        <v>133</v>
      </c>
      <c r="Q516" s="53">
        <v>61549</v>
      </c>
      <c r="R516" s="8" t="s">
        <v>73</v>
      </c>
      <c r="S516" s="7">
        <v>0</v>
      </c>
      <c r="T516" s="7"/>
      <c r="U516" s="7"/>
      <c r="V516" s="7">
        <f>SUM(Matiere_premiere[[#This Row],[INVENTAIRE]],-Matiere_premiere[[#This Row],[Entrée]],-Matiere_premiere[[#This Row],[Sortis]])</f>
        <v>0</v>
      </c>
      <c r="W516" s="50" t="str">
        <f>CONCATENATE(Matiere_premiere[[#This Row],[CODE COLEUR]],"_",Matiere_premiere[[#This Row],[COULEUR]],"_",Matiere_premiere[[#This Row],[CODE FAB]],"_",Matiere_premiere[[#This Row],[Num de Lot]])</f>
        <v>C29_FUSHIA_NM15-29.00_61549</v>
      </c>
    </row>
    <row r="517" spans="1:23" ht="19.7" customHeight="1" thickBot="1" x14ac:dyDescent="0.3">
      <c r="A517" s="69"/>
      <c r="B517" s="72"/>
      <c r="C517" s="72"/>
      <c r="D517" s="75"/>
      <c r="E517" s="77"/>
      <c r="F517" s="79"/>
      <c r="G517" s="75"/>
      <c r="H517" s="77"/>
      <c r="I517" s="81"/>
      <c r="J517" s="10" t="str">
        <f>Matiere_premiere[[#This Row],[Entrepot]]</f>
        <v>Usine</v>
      </c>
      <c r="K517" s="9" t="b">
        <f>IF(Matiere_premiere[[#This Row],[INVENTAIRE]]&gt;0,TRUE,FALSE)</f>
        <v>1</v>
      </c>
      <c r="L517" s="66"/>
      <c r="M517" s="8" t="s">
        <v>103</v>
      </c>
      <c r="N517" s="8" t="s">
        <v>131</v>
      </c>
      <c r="O517" s="8" t="s">
        <v>130</v>
      </c>
      <c r="P517" s="8" t="s">
        <v>133</v>
      </c>
      <c r="Q517" s="53">
        <v>61549</v>
      </c>
      <c r="R517" s="8" t="s">
        <v>68</v>
      </c>
      <c r="S517" s="7">
        <v>457</v>
      </c>
      <c r="T517" s="7"/>
      <c r="U517" s="7"/>
      <c r="V517" s="7">
        <f>SUM(Matiere_premiere[[#This Row],[INVENTAIRE]],-Matiere_premiere[[#This Row],[Entrée]],-Matiere_premiere[[#This Row],[Sortis]])</f>
        <v>457</v>
      </c>
      <c r="W517" s="50" t="str">
        <f>CONCATENATE(Matiere_premiere[[#This Row],[CODE COLEUR]],"_",Matiere_premiere[[#This Row],[COULEUR]],"_",Matiere_premiere[[#This Row],[CODE FAB]],"_",Matiere_premiere[[#This Row],[Num de Lot]])</f>
        <v>C29_FUSHIA_NM15-29.00_61549</v>
      </c>
    </row>
    <row r="518" spans="1:23" ht="19.7" customHeight="1" thickTop="1" thickBot="1" x14ac:dyDescent="0.3">
      <c r="A518" s="67" t="str">
        <f>Matiere_premiere[[#This Row],[NUMERO METRIQUE]]</f>
        <v>NM15</v>
      </c>
      <c r="B518" s="70" t="str">
        <f>Matiere_premiere[[#This Row],[COULEUR]]</f>
        <v>FUSHIA</v>
      </c>
      <c r="C518" s="70" t="str">
        <f>Matiere_premiere[[#This Row],[CODE COLEUR]]</f>
        <v>C29</v>
      </c>
      <c r="D518" s="73" t="str">
        <f>Matiere_premiere[[#This Row],[CODE FAB]]</f>
        <v>NM15-29.00</v>
      </c>
      <c r="E518" s="76" t="e" vm="186">
        <f>_xlfn.IMAGE("https://api.qrserver.com/v1/create-qr-code/?size=100x100&amp;data=" &amp; D518)</f>
        <v>#VALUE!</v>
      </c>
      <c r="F518" s="78"/>
      <c r="G518" s="73">
        <f>Matiere_premiere[[#This Row],[Num de Lot]]</f>
        <v>65333</v>
      </c>
      <c r="H518" s="76" t="e" vm="188">
        <f>_xlfn.IMAGE("https://api.qrserver.com/v1/create-qr-code/?size=100x100&amp;data=" &amp; G518)</f>
        <v>#VALUE!</v>
      </c>
      <c r="I518" s="80"/>
      <c r="J518" s="12" t="str">
        <f>Matiere_premiere[[#This Row],[Entrepot]]</f>
        <v>E1</v>
      </c>
      <c r="K518" s="9" t="b">
        <f>IF(Matiere_premiere[[#This Row],[INVENTAIRE]]&gt;0,TRUE,FALSE)</f>
        <v>0</v>
      </c>
      <c r="L518" s="65"/>
      <c r="M518" s="16" t="s">
        <v>103</v>
      </c>
      <c r="N518" s="16" t="s">
        <v>131</v>
      </c>
      <c r="O518" s="16" t="s">
        <v>130</v>
      </c>
      <c r="P518" s="16" t="s">
        <v>133</v>
      </c>
      <c r="Q518" s="54">
        <v>65333</v>
      </c>
      <c r="R518" s="13" t="s">
        <v>75</v>
      </c>
      <c r="S518" s="14">
        <v>0</v>
      </c>
      <c r="T518" s="14"/>
      <c r="U518" s="14"/>
      <c r="V518" s="14">
        <f>SUM(Matiere_premiere[[#This Row],[INVENTAIRE]],-Matiere_premiere[[#This Row],[Entrée]],-Matiere_premiere[[#This Row],[Sortis]])</f>
        <v>0</v>
      </c>
      <c r="W518" s="50" t="str">
        <f>CONCATENATE(Matiere_premiere[[#This Row],[CODE COLEUR]],"_",Matiere_premiere[[#This Row],[COULEUR]],"_",Matiere_premiere[[#This Row],[CODE FAB]],"_",Matiere_premiere[[#This Row],[Num de Lot]])</f>
        <v>C29_FUSHIA_NM15-29.00_65333</v>
      </c>
    </row>
    <row r="519" spans="1:23" ht="19.7" customHeight="1" thickBot="1" x14ac:dyDescent="0.3">
      <c r="A519" s="68"/>
      <c r="B519" s="71"/>
      <c r="C519" s="71"/>
      <c r="D519" s="74"/>
      <c r="E519" s="76"/>
      <c r="F519" s="78"/>
      <c r="G519" s="74"/>
      <c r="H519" s="76"/>
      <c r="I519" s="80"/>
      <c r="J519" s="11" t="str">
        <f>Matiere_premiere[[#This Row],[Entrepot]]</f>
        <v>E2</v>
      </c>
      <c r="K519" s="9" t="b">
        <f>IF(Matiere_premiere[[#This Row],[INVENTAIRE]]&gt;0,TRUE,FALSE)</f>
        <v>0</v>
      </c>
      <c r="L519" s="65"/>
      <c r="M519" s="16" t="s">
        <v>103</v>
      </c>
      <c r="N519" s="16" t="s">
        <v>131</v>
      </c>
      <c r="O519" s="16" t="s">
        <v>130</v>
      </c>
      <c r="P519" s="16" t="s">
        <v>133</v>
      </c>
      <c r="Q519" s="54">
        <v>65333</v>
      </c>
      <c r="R519" s="13" t="s">
        <v>74</v>
      </c>
      <c r="S519" s="14">
        <v>0</v>
      </c>
      <c r="T519" s="14"/>
      <c r="U519" s="14"/>
      <c r="V519" s="14">
        <f>SUM(Matiere_premiere[[#This Row],[INVENTAIRE]],-Matiere_premiere[[#This Row],[Entrée]],-Matiere_premiere[[#This Row],[Sortis]])</f>
        <v>0</v>
      </c>
      <c r="W519" s="50" t="str">
        <f>CONCATENATE(Matiere_premiere[[#This Row],[CODE COLEUR]],"_",Matiere_premiere[[#This Row],[COULEUR]],"_",Matiere_premiere[[#This Row],[CODE FAB]],"_",Matiere_premiere[[#This Row],[Num de Lot]])</f>
        <v>C29_FUSHIA_NM15-29.00_65333</v>
      </c>
    </row>
    <row r="520" spans="1:23" ht="19.7" customHeight="1" thickBot="1" x14ac:dyDescent="0.3">
      <c r="A520" s="68"/>
      <c r="B520" s="71"/>
      <c r="C520" s="71"/>
      <c r="D520" s="74"/>
      <c r="E520" s="76"/>
      <c r="F520" s="78"/>
      <c r="G520" s="74"/>
      <c r="H520" s="76"/>
      <c r="I520" s="80"/>
      <c r="J520" s="11" t="str">
        <f>Matiere_premiere[[#This Row],[Entrepot]]</f>
        <v>E3</v>
      </c>
      <c r="K520" s="9" t="b">
        <f>IF(Matiere_premiere[[#This Row],[INVENTAIRE]]&gt;0,TRUE,FALSE)</f>
        <v>0</v>
      </c>
      <c r="L520" s="65"/>
      <c r="M520" s="16" t="s">
        <v>103</v>
      </c>
      <c r="N520" s="16" t="s">
        <v>131</v>
      </c>
      <c r="O520" s="16" t="s">
        <v>130</v>
      </c>
      <c r="P520" s="16" t="s">
        <v>133</v>
      </c>
      <c r="Q520" s="54">
        <v>65333</v>
      </c>
      <c r="R520" s="13" t="s">
        <v>73</v>
      </c>
      <c r="S520" s="14">
        <v>0</v>
      </c>
      <c r="T520" s="14"/>
      <c r="U520" s="14"/>
      <c r="V520" s="14">
        <f>SUM(Matiere_premiere[[#This Row],[INVENTAIRE]],-Matiere_premiere[[#This Row],[Entrée]],-Matiere_premiere[[#This Row],[Sortis]])</f>
        <v>0</v>
      </c>
      <c r="W520" s="50" t="str">
        <f>CONCATENATE(Matiere_premiere[[#This Row],[CODE COLEUR]],"_",Matiere_premiere[[#This Row],[COULEUR]],"_",Matiere_premiere[[#This Row],[CODE FAB]],"_",Matiere_premiere[[#This Row],[Num de Lot]])</f>
        <v>C29_FUSHIA_NM15-29.00_65333</v>
      </c>
    </row>
    <row r="521" spans="1:23" ht="19.7" customHeight="1" thickBot="1" x14ac:dyDescent="0.3">
      <c r="A521" s="69"/>
      <c r="B521" s="72"/>
      <c r="C521" s="72"/>
      <c r="D521" s="75"/>
      <c r="E521" s="77"/>
      <c r="F521" s="79"/>
      <c r="G521" s="75"/>
      <c r="H521" s="77"/>
      <c r="I521" s="81"/>
      <c r="J521" s="10" t="str">
        <f>Matiere_premiere[[#This Row],[Entrepot]]</f>
        <v>Usine</v>
      </c>
      <c r="K521" s="9" t="b">
        <f>IF(Matiere_premiere[[#This Row],[INVENTAIRE]]&gt;0,TRUE,FALSE)</f>
        <v>0</v>
      </c>
      <c r="L521" s="66"/>
      <c r="M521" s="13" t="s">
        <v>103</v>
      </c>
      <c r="N521" s="13" t="s">
        <v>131</v>
      </c>
      <c r="O521" s="13" t="s">
        <v>130</v>
      </c>
      <c r="P521" s="13" t="s">
        <v>133</v>
      </c>
      <c r="Q521" s="55">
        <v>65333</v>
      </c>
      <c r="R521" s="13" t="s">
        <v>68</v>
      </c>
      <c r="S521" s="14">
        <v>0</v>
      </c>
      <c r="T521" s="14"/>
      <c r="U521" s="14"/>
      <c r="V521" s="14">
        <f>SUM(Matiere_premiere[[#This Row],[INVENTAIRE]],-Matiere_premiere[[#This Row],[Entrée]],-Matiere_premiere[[#This Row],[Sortis]])</f>
        <v>0</v>
      </c>
      <c r="W521" s="50" t="str">
        <f>CONCATENATE(Matiere_premiere[[#This Row],[CODE COLEUR]],"_",Matiere_premiere[[#This Row],[COULEUR]],"_",Matiere_premiere[[#This Row],[CODE FAB]],"_",Matiere_premiere[[#This Row],[Num de Lot]])</f>
        <v>C29_FUSHIA_NM15-29.00_65333</v>
      </c>
    </row>
    <row r="522" spans="1:23" ht="19.7" customHeight="1" thickTop="1" thickBot="1" x14ac:dyDescent="0.3">
      <c r="A522" s="67" t="str">
        <f>Matiere_premiere[[#This Row],[NUMERO METRIQUE]]</f>
        <v>NM15</v>
      </c>
      <c r="B522" s="70" t="str">
        <f>Matiere_premiere[[#This Row],[COULEUR]]</f>
        <v>FUSHIA</v>
      </c>
      <c r="C522" s="70" t="str">
        <f>Matiere_premiere[[#This Row],[CODE COLEUR]]</f>
        <v>C29</v>
      </c>
      <c r="D522" s="73" t="str">
        <f>Matiere_premiere[[#This Row],[CODE FAB]]</f>
        <v>NM15-29.01</v>
      </c>
      <c r="E522" s="76" t="e" vm="189">
        <f>_xlfn.IMAGE("https://api.qrserver.com/v1/create-qr-code/?size=100x100&amp;data=" &amp; D522)</f>
        <v>#VALUE!</v>
      </c>
      <c r="F522" s="78"/>
      <c r="G522" s="73" t="str">
        <f>Matiere_premiere[[#This Row],[Num de Lot]]</f>
        <v>S2023</v>
      </c>
      <c r="H522" s="76" t="e" vm="2">
        <f>_xlfn.IMAGE("https://api.qrserver.com/v1/create-qr-code/?size=100x100&amp;data=" &amp; G522)</f>
        <v>#VALUE!</v>
      </c>
      <c r="I522" s="80"/>
      <c r="J522" s="12" t="str">
        <f>Matiere_premiere[[#This Row],[Entrepot]]</f>
        <v>E1</v>
      </c>
      <c r="K522" s="9" t="b">
        <f>IF(Matiere_premiere[[#This Row],[INVENTAIRE]]&gt;0,TRUE,FALSE)</f>
        <v>0</v>
      </c>
      <c r="L522" s="65"/>
      <c r="M522" s="8" t="s">
        <v>103</v>
      </c>
      <c r="N522" s="8" t="s">
        <v>131</v>
      </c>
      <c r="O522" s="8" t="s">
        <v>130</v>
      </c>
      <c r="P522" s="8" t="s">
        <v>132</v>
      </c>
      <c r="Q522" s="53" t="s">
        <v>69</v>
      </c>
      <c r="R522" s="8" t="s">
        <v>75</v>
      </c>
      <c r="S522" s="7">
        <v>0</v>
      </c>
      <c r="T522" s="7"/>
      <c r="U522" s="7"/>
      <c r="V522" s="7">
        <f>SUM(Matiere_premiere[[#This Row],[INVENTAIRE]],-Matiere_premiere[[#This Row],[Entrée]],-Matiere_premiere[[#This Row],[Sortis]])</f>
        <v>0</v>
      </c>
      <c r="W522" s="50" t="str">
        <f>CONCATENATE(Matiere_premiere[[#This Row],[CODE COLEUR]],"_",Matiere_premiere[[#This Row],[COULEUR]],"_",Matiere_premiere[[#This Row],[CODE FAB]],"_",Matiere_premiere[[#This Row],[Num de Lot]])</f>
        <v>C29_FUSHIA_NM15-29.01_S2023</v>
      </c>
    </row>
    <row r="523" spans="1:23" ht="19.7" customHeight="1" thickBot="1" x14ac:dyDescent="0.3">
      <c r="A523" s="68"/>
      <c r="B523" s="71"/>
      <c r="C523" s="71"/>
      <c r="D523" s="74"/>
      <c r="E523" s="76"/>
      <c r="F523" s="78"/>
      <c r="G523" s="74"/>
      <c r="H523" s="76"/>
      <c r="I523" s="80"/>
      <c r="J523" s="11" t="str">
        <f>Matiere_premiere[[#This Row],[Entrepot]]</f>
        <v>E2</v>
      </c>
      <c r="K523" s="9" t="b">
        <f>IF(Matiere_premiere[[#This Row],[INVENTAIRE]]&gt;0,TRUE,FALSE)</f>
        <v>0</v>
      </c>
      <c r="L523" s="65"/>
      <c r="M523" s="8" t="s">
        <v>103</v>
      </c>
      <c r="N523" s="8" t="s">
        <v>131</v>
      </c>
      <c r="O523" s="8" t="s">
        <v>130</v>
      </c>
      <c r="P523" s="8" t="s">
        <v>132</v>
      </c>
      <c r="Q523" s="53" t="s">
        <v>69</v>
      </c>
      <c r="R523" s="8" t="s">
        <v>74</v>
      </c>
      <c r="S523" s="7">
        <v>0</v>
      </c>
      <c r="T523" s="7"/>
      <c r="U523" s="7"/>
      <c r="V523" s="7">
        <f>SUM(Matiere_premiere[[#This Row],[INVENTAIRE]],-Matiere_premiere[[#This Row],[Entrée]],-Matiere_premiere[[#This Row],[Sortis]])</f>
        <v>0</v>
      </c>
      <c r="W523" s="50" t="str">
        <f>CONCATENATE(Matiere_premiere[[#This Row],[CODE COLEUR]],"_",Matiere_premiere[[#This Row],[COULEUR]],"_",Matiere_premiere[[#This Row],[CODE FAB]],"_",Matiere_premiere[[#This Row],[Num de Lot]])</f>
        <v>C29_FUSHIA_NM15-29.01_S2023</v>
      </c>
    </row>
    <row r="524" spans="1:23" ht="19.7" customHeight="1" thickBot="1" x14ac:dyDescent="0.3">
      <c r="A524" s="68"/>
      <c r="B524" s="71"/>
      <c r="C524" s="71"/>
      <c r="D524" s="74"/>
      <c r="E524" s="76"/>
      <c r="F524" s="78"/>
      <c r="G524" s="74"/>
      <c r="H524" s="76"/>
      <c r="I524" s="80"/>
      <c r="J524" s="11" t="str">
        <f>Matiere_premiere[[#This Row],[Entrepot]]</f>
        <v>E3</v>
      </c>
      <c r="K524" s="9" t="b">
        <f>IF(Matiere_premiere[[#This Row],[INVENTAIRE]]&gt;0,TRUE,FALSE)</f>
        <v>1</v>
      </c>
      <c r="L524" s="65"/>
      <c r="M524" s="8" t="s">
        <v>103</v>
      </c>
      <c r="N524" s="8" t="s">
        <v>131</v>
      </c>
      <c r="O524" s="8" t="s">
        <v>130</v>
      </c>
      <c r="P524" s="8" t="s">
        <v>132</v>
      </c>
      <c r="Q524" s="53" t="s">
        <v>69</v>
      </c>
      <c r="R524" s="8" t="s">
        <v>73</v>
      </c>
      <c r="S524" s="7">
        <v>1008</v>
      </c>
      <c r="T524" s="7"/>
      <c r="U524" s="7"/>
      <c r="V524" s="7">
        <f>SUM(Matiere_premiere[[#This Row],[INVENTAIRE]],-Matiere_premiere[[#This Row],[Entrée]],-Matiere_premiere[[#This Row],[Sortis]])</f>
        <v>1008</v>
      </c>
      <c r="W524" s="50" t="str">
        <f>CONCATENATE(Matiere_premiere[[#This Row],[CODE COLEUR]],"_",Matiere_premiere[[#This Row],[COULEUR]],"_",Matiere_premiere[[#This Row],[CODE FAB]],"_",Matiere_premiere[[#This Row],[Num de Lot]])</f>
        <v>C29_FUSHIA_NM15-29.01_S2023</v>
      </c>
    </row>
    <row r="525" spans="1:23" ht="19.7" customHeight="1" thickBot="1" x14ac:dyDescent="0.3">
      <c r="A525" s="69"/>
      <c r="B525" s="72"/>
      <c r="C525" s="72"/>
      <c r="D525" s="75"/>
      <c r="E525" s="77"/>
      <c r="F525" s="79"/>
      <c r="G525" s="75"/>
      <c r="H525" s="77"/>
      <c r="I525" s="81"/>
      <c r="J525" s="10" t="str">
        <f>Matiere_premiere[[#This Row],[Entrepot]]</f>
        <v>Usine</v>
      </c>
      <c r="K525" s="9" t="b">
        <f>IF(Matiere_premiere[[#This Row],[INVENTAIRE]]&gt;0,TRUE,FALSE)</f>
        <v>0</v>
      </c>
      <c r="L525" s="66"/>
      <c r="M525" s="8" t="s">
        <v>103</v>
      </c>
      <c r="N525" s="8" t="s">
        <v>131</v>
      </c>
      <c r="O525" s="8" t="s">
        <v>130</v>
      </c>
      <c r="P525" s="8" t="s">
        <v>132</v>
      </c>
      <c r="Q525" s="53" t="s">
        <v>69</v>
      </c>
      <c r="R525" s="8" t="s">
        <v>68</v>
      </c>
      <c r="S525" s="7">
        <v>0</v>
      </c>
      <c r="T525" s="7"/>
      <c r="U525" s="7"/>
      <c r="V525" s="7">
        <f>SUM(Matiere_premiere[[#This Row],[INVENTAIRE]],-Matiere_premiere[[#This Row],[Entrée]],-Matiere_premiere[[#This Row],[Sortis]])</f>
        <v>0</v>
      </c>
      <c r="W525" s="50" t="str">
        <f>CONCATENATE(Matiere_premiere[[#This Row],[CODE COLEUR]],"_",Matiere_premiere[[#This Row],[COULEUR]],"_",Matiere_premiere[[#This Row],[CODE FAB]],"_",Matiere_premiere[[#This Row],[Num de Lot]])</f>
        <v>C29_FUSHIA_NM15-29.01_S2023</v>
      </c>
    </row>
    <row r="526" spans="1:23" ht="19.7" customHeight="1" thickTop="1" thickBot="1" x14ac:dyDescent="0.3">
      <c r="A526" s="67" t="str">
        <f>Matiere_premiere[[#This Row],[NUMERO METRIQUE]]</f>
        <v>NM20</v>
      </c>
      <c r="B526" s="70" t="str">
        <f>Matiere_premiere[[#This Row],[COULEUR]]</f>
        <v>FUSHIA</v>
      </c>
      <c r="C526" s="70" t="str">
        <f>Matiere_premiere[[#This Row],[CODE COLEUR]]</f>
        <v>C29</v>
      </c>
      <c r="D526" s="73" t="str">
        <f>Matiere_premiere[[#This Row],[CODE FAB]]</f>
        <v>NM20-29.01</v>
      </c>
      <c r="E526" s="76" t="e" vm="190">
        <f>_xlfn.IMAGE("https://api.qrserver.com/v1/create-qr-code/?size=100x100&amp;data=" &amp; D526)</f>
        <v>#VALUE!</v>
      </c>
      <c r="F526" s="78"/>
      <c r="G526" s="73" t="str">
        <f>Matiere_premiere[[#This Row],[Num de Lot]]</f>
        <v>S2023</v>
      </c>
      <c r="H526" s="76" t="e" vm="2">
        <f>_xlfn.IMAGE("https://api.qrserver.com/v1/create-qr-code/?size=100x100&amp;data=" &amp; G526)</f>
        <v>#VALUE!</v>
      </c>
      <c r="I526" s="80"/>
      <c r="J526" s="12" t="str">
        <f>Matiere_premiere[[#This Row],[Entrepot]]</f>
        <v>E1</v>
      </c>
      <c r="K526" s="9" t="b">
        <f>IF(Matiere_premiere[[#This Row],[INVENTAIRE]]&gt;0,TRUE,FALSE)</f>
        <v>0</v>
      </c>
      <c r="L526" s="65"/>
      <c r="M526" s="13" t="s">
        <v>82</v>
      </c>
      <c r="N526" s="13" t="s">
        <v>131</v>
      </c>
      <c r="O526" s="13" t="s">
        <v>130</v>
      </c>
      <c r="P526" s="13" t="s">
        <v>129</v>
      </c>
      <c r="Q526" s="55" t="s">
        <v>69</v>
      </c>
      <c r="R526" s="13" t="s">
        <v>75</v>
      </c>
      <c r="S526" s="14">
        <v>0</v>
      </c>
      <c r="T526" s="14"/>
      <c r="U526" s="14"/>
      <c r="V526" s="14">
        <f>SUM(Matiere_premiere[[#This Row],[INVENTAIRE]],-Matiere_premiere[[#This Row],[Entrée]],-Matiere_premiere[[#This Row],[Sortis]])</f>
        <v>0</v>
      </c>
      <c r="W526" s="50" t="str">
        <f>CONCATENATE(Matiere_premiere[[#This Row],[CODE COLEUR]],"_",Matiere_premiere[[#This Row],[COULEUR]],"_",Matiere_premiere[[#This Row],[CODE FAB]],"_",Matiere_premiere[[#This Row],[Num de Lot]])</f>
        <v>C29_FUSHIA_NM20-29.01_S2023</v>
      </c>
    </row>
    <row r="527" spans="1:23" ht="19.7" customHeight="1" thickBot="1" x14ac:dyDescent="0.3">
      <c r="A527" s="68"/>
      <c r="B527" s="71"/>
      <c r="C527" s="71"/>
      <c r="D527" s="74"/>
      <c r="E527" s="76"/>
      <c r="F527" s="78"/>
      <c r="G527" s="74"/>
      <c r="H527" s="76"/>
      <c r="I527" s="80"/>
      <c r="J527" s="11" t="str">
        <f>Matiere_premiere[[#This Row],[Entrepot]]</f>
        <v>E2</v>
      </c>
      <c r="K527" s="9" t="b">
        <f>IF(Matiere_premiere[[#This Row],[INVENTAIRE]]&gt;0,TRUE,FALSE)</f>
        <v>0</v>
      </c>
      <c r="L527" s="65"/>
      <c r="M527" s="13" t="s">
        <v>82</v>
      </c>
      <c r="N527" s="13" t="s">
        <v>131</v>
      </c>
      <c r="O527" s="13" t="s">
        <v>130</v>
      </c>
      <c r="P527" s="13" t="s">
        <v>129</v>
      </c>
      <c r="Q527" s="55" t="s">
        <v>69</v>
      </c>
      <c r="R527" s="13" t="s">
        <v>74</v>
      </c>
      <c r="S527" s="14">
        <v>0</v>
      </c>
      <c r="T527" s="14"/>
      <c r="U527" s="14"/>
      <c r="V527" s="14">
        <f>SUM(Matiere_premiere[[#This Row],[INVENTAIRE]],-Matiere_premiere[[#This Row],[Entrée]],-Matiere_premiere[[#This Row],[Sortis]])</f>
        <v>0</v>
      </c>
      <c r="W527" s="50" t="str">
        <f>CONCATENATE(Matiere_premiere[[#This Row],[CODE COLEUR]],"_",Matiere_premiere[[#This Row],[COULEUR]],"_",Matiere_premiere[[#This Row],[CODE FAB]],"_",Matiere_premiere[[#This Row],[Num de Lot]])</f>
        <v>C29_FUSHIA_NM20-29.01_S2023</v>
      </c>
    </row>
    <row r="528" spans="1:23" ht="19.7" customHeight="1" thickBot="1" x14ac:dyDescent="0.3">
      <c r="A528" s="68"/>
      <c r="B528" s="71"/>
      <c r="C528" s="71"/>
      <c r="D528" s="74"/>
      <c r="E528" s="76"/>
      <c r="F528" s="78"/>
      <c r="G528" s="74"/>
      <c r="H528" s="76"/>
      <c r="I528" s="80"/>
      <c r="J528" s="11" t="str">
        <f>Matiere_premiere[[#This Row],[Entrepot]]</f>
        <v>E3</v>
      </c>
      <c r="K528" s="9" t="b">
        <f>IF(Matiere_premiere[[#This Row],[INVENTAIRE]]&gt;0,TRUE,FALSE)</f>
        <v>0</v>
      </c>
      <c r="L528" s="65"/>
      <c r="M528" s="13" t="s">
        <v>82</v>
      </c>
      <c r="N528" s="13" t="s">
        <v>131</v>
      </c>
      <c r="O528" s="13" t="s">
        <v>130</v>
      </c>
      <c r="P528" s="13" t="s">
        <v>129</v>
      </c>
      <c r="Q528" s="55" t="s">
        <v>69</v>
      </c>
      <c r="R528" s="13" t="s">
        <v>73</v>
      </c>
      <c r="S528" s="14">
        <v>0</v>
      </c>
      <c r="T528" s="14"/>
      <c r="U528" s="14"/>
      <c r="V528" s="14">
        <f>SUM(Matiere_premiere[[#This Row],[INVENTAIRE]],-Matiere_premiere[[#This Row],[Entrée]],-Matiere_premiere[[#This Row],[Sortis]])</f>
        <v>0</v>
      </c>
      <c r="W528" s="50" t="str">
        <f>CONCATENATE(Matiere_premiere[[#This Row],[CODE COLEUR]],"_",Matiere_premiere[[#This Row],[COULEUR]],"_",Matiere_premiere[[#This Row],[CODE FAB]],"_",Matiere_premiere[[#This Row],[Num de Lot]])</f>
        <v>C29_FUSHIA_NM20-29.01_S2023</v>
      </c>
    </row>
    <row r="529" spans="1:23" ht="19.7" customHeight="1" thickBot="1" x14ac:dyDescent="0.3">
      <c r="A529" s="69"/>
      <c r="B529" s="72"/>
      <c r="C529" s="72"/>
      <c r="D529" s="75"/>
      <c r="E529" s="77"/>
      <c r="F529" s="79"/>
      <c r="G529" s="75"/>
      <c r="H529" s="77"/>
      <c r="I529" s="81"/>
      <c r="J529" s="10" t="str">
        <f>Matiere_premiere[[#This Row],[Entrepot]]</f>
        <v>Usine</v>
      </c>
      <c r="K529" s="9" t="b">
        <f>IF(Matiere_premiere[[#This Row],[INVENTAIRE]]&gt;0,TRUE,FALSE)</f>
        <v>1</v>
      </c>
      <c r="L529" s="66"/>
      <c r="M529" s="13" t="s">
        <v>82</v>
      </c>
      <c r="N529" s="13" t="s">
        <v>131</v>
      </c>
      <c r="O529" s="13" t="s">
        <v>130</v>
      </c>
      <c r="P529" s="13" t="s">
        <v>129</v>
      </c>
      <c r="Q529" s="55" t="s">
        <v>69</v>
      </c>
      <c r="R529" s="13" t="s">
        <v>68</v>
      </c>
      <c r="S529" s="14">
        <v>104</v>
      </c>
      <c r="T529" s="14"/>
      <c r="U529" s="14"/>
      <c r="V529" s="14">
        <f>SUM(Matiere_premiere[[#This Row],[INVENTAIRE]],-Matiere_premiere[[#This Row],[Entrée]],-Matiere_premiere[[#This Row],[Sortis]])</f>
        <v>104</v>
      </c>
      <c r="W529" s="50" t="str">
        <f>CONCATENATE(Matiere_premiere[[#This Row],[CODE COLEUR]],"_",Matiere_premiere[[#This Row],[COULEUR]],"_",Matiere_premiere[[#This Row],[CODE FAB]],"_",Matiere_premiere[[#This Row],[Num de Lot]])</f>
        <v>C29_FUSHIA_NM20-29.01_S2023</v>
      </c>
    </row>
    <row r="530" spans="1:23" ht="19.7" customHeight="1" thickTop="1" thickBot="1" x14ac:dyDescent="0.3">
      <c r="A530" s="67" t="str">
        <f>Matiere_premiere[[#This Row],[NUMERO METRIQUE]]</f>
        <v>NM15</v>
      </c>
      <c r="B530" s="70" t="str">
        <f>Matiere_premiere[[#This Row],[COULEUR]]</f>
        <v>PRALINE</v>
      </c>
      <c r="C530" s="70" t="str">
        <f>Matiere_premiere[[#This Row],[CODE COLEUR]]</f>
        <v>C30</v>
      </c>
      <c r="D530" s="73" t="str">
        <f>Matiere_premiere[[#This Row],[CODE FAB]]</f>
        <v>NM15-30.00</v>
      </c>
      <c r="E530" s="76" t="e" vm="191">
        <f>_xlfn.IMAGE("https://api.qrserver.com/v1/create-qr-code/?size=100x100&amp;data=" &amp; D530)</f>
        <v>#VALUE!</v>
      </c>
      <c r="F530" s="78"/>
      <c r="G530" s="73">
        <f>Matiere_premiere[[#This Row],[Num de Lot]]</f>
        <v>61570</v>
      </c>
      <c r="H530" s="76" t="e" vm="192">
        <f>_xlfn.IMAGE("https://api.qrserver.com/v1/create-qr-code/?size=100x100&amp;data=" &amp; G530)</f>
        <v>#VALUE!</v>
      </c>
      <c r="I530" s="80"/>
      <c r="J530" s="12" t="str">
        <f>Matiere_premiere[[#This Row],[Entrepot]]</f>
        <v>E1</v>
      </c>
      <c r="K530" s="9" t="b">
        <f>IF(Matiere_premiere[[#This Row],[INVENTAIRE]]&gt;0,TRUE,FALSE)</f>
        <v>1</v>
      </c>
      <c r="L530" s="65"/>
      <c r="M530" s="8" t="s">
        <v>103</v>
      </c>
      <c r="N530" s="8" t="s">
        <v>128</v>
      </c>
      <c r="O530" s="8" t="s">
        <v>127</v>
      </c>
      <c r="P530" s="8" t="s">
        <v>126</v>
      </c>
      <c r="Q530" s="53">
        <v>61570</v>
      </c>
      <c r="R530" s="8" t="s">
        <v>75</v>
      </c>
      <c r="S530" s="7">
        <v>269.5</v>
      </c>
      <c r="T530" s="7"/>
      <c r="U530" s="7"/>
      <c r="V530" s="7">
        <f>SUM(Matiere_premiere[[#This Row],[INVENTAIRE]],-Matiere_premiere[[#This Row],[Entrée]],-Matiere_premiere[[#This Row],[Sortis]])</f>
        <v>269.5</v>
      </c>
      <c r="W530" s="50" t="str">
        <f>CONCATENATE(Matiere_premiere[[#This Row],[CODE COLEUR]],"_",Matiere_premiere[[#This Row],[COULEUR]],"_",Matiere_premiere[[#This Row],[CODE FAB]],"_",Matiere_premiere[[#This Row],[Num de Lot]])</f>
        <v>C30_PRALINE_NM15-30.00_61570</v>
      </c>
    </row>
    <row r="531" spans="1:23" ht="19.7" customHeight="1" thickBot="1" x14ac:dyDescent="0.3">
      <c r="A531" s="68"/>
      <c r="B531" s="71"/>
      <c r="C531" s="71"/>
      <c r="D531" s="74"/>
      <c r="E531" s="76"/>
      <c r="F531" s="78"/>
      <c r="G531" s="74"/>
      <c r="H531" s="76"/>
      <c r="I531" s="80"/>
      <c r="J531" s="11" t="str">
        <f>Matiere_premiere[[#This Row],[Entrepot]]</f>
        <v>E2</v>
      </c>
      <c r="K531" s="9" t="b">
        <f>IF(Matiere_premiere[[#This Row],[INVENTAIRE]]&gt;0,TRUE,FALSE)</f>
        <v>0</v>
      </c>
      <c r="L531" s="65"/>
      <c r="M531" s="8" t="s">
        <v>103</v>
      </c>
      <c r="N531" s="8" t="s">
        <v>128</v>
      </c>
      <c r="O531" s="8" t="s">
        <v>127</v>
      </c>
      <c r="P531" s="8" t="s">
        <v>126</v>
      </c>
      <c r="Q531" s="53">
        <v>61570</v>
      </c>
      <c r="R531" s="8" t="s">
        <v>74</v>
      </c>
      <c r="S531" s="7">
        <v>0</v>
      </c>
      <c r="T531" s="7"/>
      <c r="U531" s="7"/>
      <c r="V531" s="7">
        <f>SUM(Matiere_premiere[[#This Row],[INVENTAIRE]],-Matiere_premiere[[#This Row],[Entrée]],-Matiere_premiere[[#This Row],[Sortis]])</f>
        <v>0</v>
      </c>
      <c r="W531" s="50" t="str">
        <f>CONCATENATE(Matiere_premiere[[#This Row],[CODE COLEUR]],"_",Matiere_premiere[[#This Row],[COULEUR]],"_",Matiere_premiere[[#This Row],[CODE FAB]],"_",Matiere_premiere[[#This Row],[Num de Lot]])</f>
        <v>C30_PRALINE_NM15-30.00_61570</v>
      </c>
    </row>
    <row r="532" spans="1:23" ht="19.7" customHeight="1" thickBot="1" x14ac:dyDescent="0.3">
      <c r="A532" s="68"/>
      <c r="B532" s="71"/>
      <c r="C532" s="71"/>
      <c r="D532" s="74"/>
      <c r="E532" s="76"/>
      <c r="F532" s="78"/>
      <c r="G532" s="74"/>
      <c r="H532" s="76"/>
      <c r="I532" s="80"/>
      <c r="J532" s="11" t="str">
        <f>Matiere_premiere[[#This Row],[Entrepot]]</f>
        <v>E3</v>
      </c>
      <c r="K532" s="9" t="b">
        <f>IF(Matiere_premiere[[#This Row],[INVENTAIRE]]&gt;0,TRUE,FALSE)</f>
        <v>0</v>
      </c>
      <c r="L532" s="65"/>
      <c r="M532" s="8" t="s">
        <v>103</v>
      </c>
      <c r="N532" s="8" t="s">
        <v>128</v>
      </c>
      <c r="O532" s="8" t="s">
        <v>127</v>
      </c>
      <c r="P532" s="8" t="s">
        <v>126</v>
      </c>
      <c r="Q532" s="53">
        <v>61570</v>
      </c>
      <c r="R532" s="8" t="s">
        <v>73</v>
      </c>
      <c r="S532" s="7">
        <v>0</v>
      </c>
      <c r="T532" s="7"/>
      <c r="U532" s="7"/>
      <c r="V532" s="7">
        <f>SUM(Matiere_premiere[[#This Row],[INVENTAIRE]],-Matiere_premiere[[#This Row],[Entrée]],-Matiere_premiere[[#This Row],[Sortis]])</f>
        <v>0</v>
      </c>
      <c r="W532" s="50" t="str">
        <f>CONCATENATE(Matiere_premiere[[#This Row],[CODE COLEUR]],"_",Matiere_premiere[[#This Row],[COULEUR]],"_",Matiere_premiere[[#This Row],[CODE FAB]],"_",Matiere_premiere[[#This Row],[Num de Lot]])</f>
        <v>C30_PRALINE_NM15-30.00_61570</v>
      </c>
    </row>
    <row r="533" spans="1:23" ht="19.7" customHeight="1" thickBot="1" x14ac:dyDescent="0.3">
      <c r="A533" s="69"/>
      <c r="B533" s="72"/>
      <c r="C533" s="72"/>
      <c r="D533" s="75"/>
      <c r="E533" s="77"/>
      <c r="F533" s="79"/>
      <c r="G533" s="75"/>
      <c r="H533" s="77"/>
      <c r="I533" s="81"/>
      <c r="J533" s="10" t="str">
        <f>Matiere_premiere[[#This Row],[Entrepot]]</f>
        <v>Usine</v>
      </c>
      <c r="K533" s="9" t="b">
        <f>IF(Matiere_premiere[[#This Row],[INVENTAIRE]]&gt;0,TRUE,FALSE)</f>
        <v>1</v>
      </c>
      <c r="L533" s="66"/>
      <c r="M533" s="8" t="s">
        <v>103</v>
      </c>
      <c r="N533" s="8" t="s">
        <v>128</v>
      </c>
      <c r="O533" s="8" t="s">
        <v>127</v>
      </c>
      <c r="P533" s="8" t="s">
        <v>126</v>
      </c>
      <c r="Q533" s="53">
        <v>61570</v>
      </c>
      <c r="R533" s="8" t="s">
        <v>68</v>
      </c>
      <c r="S533" s="7">
        <v>81.900000000000006</v>
      </c>
      <c r="T533" s="7"/>
      <c r="U533" s="7"/>
      <c r="V533" s="7">
        <f>SUM(Matiere_premiere[[#This Row],[INVENTAIRE]],-Matiere_premiere[[#This Row],[Entrée]],-Matiere_premiere[[#This Row],[Sortis]])</f>
        <v>81.900000000000006</v>
      </c>
      <c r="W533" s="50" t="str">
        <f>CONCATENATE(Matiere_premiere[[#This Row],[CODE COLEUR]],"_",Matiere_premiere[[#This Row],[COULEUR]],"_",Matiere_premiere[[#This Row],[CODE FAB]],"_",Matiere_premiere[[#This Row],[Num de Lot]])</f>
        <v>C30_PRALINE_NM15-30.00_61570</v>
      </c>
    </row>
    <row r="534" spans="1:23" ht="19.7" customHeight="1" thickTop="1" thickBot="1" x14ac:dyDescent="0.3">
      <c r="A534" s="67" t="str">
        <f>Matiere_premiere[[#This Row],[NUMERO METRIQUE]]</f>
        <v>NM15</v>
      </c>
      <c r="B534" s="70" t="str">
        <f>Matiere_premiere[[#This Row],[COULEUR]]</f>
        <v>SAUMON</v>
      </c>
      <c r="C534" s="70" t="str">
        <f>Matiere_premiere[[#This Row],[CODE COLEUR]]</f>
        <v>C31</v>
      </c>
      <c r="D534" s="73" t="str">
        <f>Matiere_premiere[[#This Row],[CODE FAB]]</f>
        <v>NM15-31.00</v>
      </c>
      <c r="E534" s="76" t="e" vm="193">
        <f>_xlfn.IMAGE("https://api.qrserver.com/v1/create-qr-code/?size=100x100&amp;data=" &amp; D534)</f>
        <v>#VALUE!</v>
      </c>
      <c r="F534" s="78"/>
      <c r="G534" s="73">
        <f>Matiere_premiere[[#This Row],[Num de Lot]]</f>
        <v>61434</v>
      </c>
      <c r="H534" s="76" t="e" vm="194">
        <f>_xlfn.IMAGE("https://api.qrserver.com/v1/create-qr-code/?size=100x100&amp;data=" &amp; G534)</f>
        <v>#VALUE!</v>
      </c>
      <c r="I534" s="80"/>
      <c r="J534" s="12" t="str">
        <f>Matiere_premiere[[#This Row],[Entrepot]]</f>
        <v>E1</v>
      </c>
      <c r="K534" s="9" t="b">
        <f>IF(Matiere_premiere[[#This Row],[INVENTAIRE]]&gt;0,TRUE,FALSE)</f>
        <v>1</v>
      </c>
      <c r="L534" s="65"/>
      <c r="M534" s="13" t="s">
        <v>103</v>
      </c>
      <c r="N534" s="13" t="s">
        <v>125</v>
      </c>
      <c r="O534" s="13" t="s">
        <v>124</v>
      </c>
      <c r="P534" s="13" t="s">
        <v>123</v>
      </c>
      <c r="Q534" s="55">
        <v>61434</v>
      </c>
      <c r="R534" s="13" t="s">
        <v>75</v>
      </c>
      <c r="S534" s="14">
        <v>2380</v>
      </c>
      <c r="T534" s="14"/>
      <c r="U534" s="14"/>
      <c r="V534" s="14">
        <f>SUM(Matiere_premiere[[#This Row],[INVENTAIRE]],-Matiere_premiere[[#This Row],[Entrée]],-Matiere_premiere[[#This Row],[Sortis]])</f>
        <v>2380</v>
      </c>
      <c r="W534" s="50" t="str">
        <f>CONCATENATE(Matiere_premiere[[#This Row],[CODE COLEUR]],"_",Matiere_premiere[[#This Row],[COULEUR]],"_",Matiere_premiere[[#This Row],[CODE FAB]],"_",Matiere_premiere[[#This Row],[Num de Lot]])</f>
        <v>C31_SAUMON_NM15-31.00_61434</v>
      </c>
    </row>
    <row r="535" spans="1:23" ht="19.7" customHeight="1" thickBot="1" x14ac:dyDescent="0.3">
      <c r="A535" s="68"/>
      <c r="B535" s="71"/>
      <c r="C535" s="71"/>
      <c r="D535" s="74"/>
      <c r="E535" s="76"/>
      <c r="F535" s="78"/>
      <c r="G535" s="74"/>
      <c r="H535" s="76"/>
      <c r="I535" s="80"/>
      <c r="J535" s="11" t="str">
        <f>Matiere_premiere[[#This Row],[Entrepot]]</f>
        <v>E2</v>
      </c>
      <c r="K535" s="9" t="b">
        <f>IF(Matiere_premiere[[#This Row],[INVENTAIRE]]&gt;0,TRUE,FALSE)</f>
        <v>0</v>
      </c>
      <c r="L535" s="65"/>
      <c r="M535" s="13" t="s">
        <v>103</v>
      </c>
      <c r="N535" s="13" t="s">
        <v>125</v>
      </c>
      <c r="O535" s="13" t="s">
        <v>124</v>
      </c>
      <c r="P535" s="13" t="s">
        <v>123</v>
      </c>
      <c r="Q535" s="55">
        <v>61434</v>
      </c>
      <c r="R535" s="13" t="s">
        <v>74</v>
      </c>
      <c r="S535" s="14">
        <v>0</v>
      </c>
      <c r="T535" s="14"/>
      <c r="U535" s="14"/>
      <c r="V535" s="14">
        <f>SUM(Matiere_premiere[[#This Row],[INVENTAIRE]],-Matiere_premiere[[#This Row],[Entrée]],-Matiere_premiere[[#This Row],[Sortis]])</f>
        <v>0</v>
      </c>
      <c r="W535" s="50" t="str">
        <f>CONCATENATE(Matiere_premiere[[#This Row],[CODE COLEUR]],"_",Matiere_premiere[[#This Row],[COULEUR]],"_",Matiere_premiere[[#This Row],[CODE FAB]],"_",Matiere_premiere[[#This Row],[Num de Lot]])</f>
        <v>C31_SAUMON_NM15-31.00_61434</v>
      </c>
    </row>
    <row r="536" spans="1:23" ht="19.7" customHeight="1" thickBot="1" x14ac:dyDescent="0.3">
      <c r="A536" s="68"/>
      <c r="B536" s="71"/>
      <c r="C536" s="71"/>
      <c r="D536" s="74"/>
      <c r="E536" s="76"/>
      <c r="F536" s="78"/>
      <c r="G536" s="74"/>
      <c r="H536" s="76"/>
      <c r="I536" s="80"/>
      <c r="J536" s="11" t="str">
        <f>Matiere_premiere[[#This Row],[Entrepot]]</f>
        <v>E3</v>
      </c>
      <c r="K536" s="9" t="b">
        <f>IF(Matiere_premiere[[#This Row],[INVENTAIRE]]&gt;0,TRUE,FALSE)</f>
        <v>0</v>
      </c>
      <c r="L536" s="65"/>
      <c r="M536" s="13" t="s">
        <v>103</v>
      </c>
      <c r="N536" s="13" t="s">
        <v>125</v>
      </c>
      <c r="O536" s="13" t="s">
        <v>124</v>
      </c>
      <c r="P536" s="13" t="s">
        <v>123</v>
      </c>
      <c r="Q536" s="55">
        <v>61434</v>
      </c>
      <c r="R536" s="13" t="s">
        <v>73</v>
      </c>
      <c r="S536" s="14">
        <v>0</v>
      </c>
      <c r="T536" s="14"/>
      <c r="U536" s="14"/>
      <c r="V536" s="14">
        <f>SUM(Matiere_premiere[[#This Row],[INVENTAIRE]],-Matiere_premiere[[#This Row],[Entrée]],-Matiere_premiere[[#This Row],[Sortis]])</f>
        <v>0</v>
      </c>
      <c r="W536" s="50" t="str">
        <f>CONCATENATE(Matiere_premiere[[#This Row],[CODE COLEUR]],"_",Matiere_premiere[[#This Row],[COULEUR]],"_",Matiere_premiere[[#This Row],[CODE FAB]],"_",Matiere_premiere[[#This Row],[Num de Lot]])</f>
        <v>C31_SAUMON_NM15-31.00_61434</v>
      </c>
    </row>
    <row r="537" spans="1:23" ht="19.7" customHeight="1" thickBot="1" x14ac:dyDescent="0.3">
      <c r="A537" s="69"/>
      <c r="B537" s="72"/>
      <c r="C537" s="72"/>
      <c r="D537" s="75"/>
      <c r="E537" s="77"/>
      <c r="F537" s="79"/>
      <c r="G537" s="75"/>
      <c r="H537" s="77"/>
      <c r="I537" s="81"/>
      <c r="J537" s="10" t="str">
        <f>Matiere_premiere[[#This Row],[Entrepot]]</f>
        <v>Usine</v>
      </c>
      <c r="K537" s="9" t="b">
        <f>IF(Matiere_premiere[[#This Row],[INVENTAIRE]]&gt;0,TRUE,FALSE)</f>
        <v>1</v>
      </c>
      <c r="L537" s="66"/>
      <c r="M537" s="13" t="s">
        <v>103</v>
      </c>
      <c r="N537" s="13" t="s">
        <v>125</v>
      </c>
      <c r="O537" s="13" t="s">
        <v>124</v>
      </c>
      <c r="P537" s="13" t="s">
        <v>123</v>
      </c>
      <c r="Q537" s="55">
        <v>61434</v>
      </c>
      <c r="R537" s="13" t="s">
        <v>68</v>
      </c>
      <c r="S537" s="14">
        <v>33.5</v>
      </c>
      <c r="T537" s="14"/>
      <c r="U537" s="14"/>
      <c r="V537" s="14">
        <f>SUM(Matiere_premiere[[#This Row],[INVENTAIRE]],-Matiere_premiere[[#This Row],[Entrée]],-Matiere_premiere[[#This Row],[Sortis]])</f>
        <v>33.5</v>
      </c>
      <c r="W537" s="50" t="str">
        <f>CONCATENATE(Matiere_premiere[[#This Row],[CODE COLEUR]],"_",Matiere_premiere[[#This Row],[COULEUR]],"_",Matiere_premiere[[#This Row],[CODE FAB]],"_",Matiere_premiere[[#This Row],[Num de Lot]])</f>
        <v>C31_SAUMON_NM15-31.00_61434</v>
      </c>
    </row>
    <row r="538" spans="1:23" ht="19.7" customHeight="1" thickTop="1" thickBot="1" x14ac:dyDescent="0.3">
      <c r="A538" s="67" t="str">
        <f>Matiere_premiere[[#This Row],[NUMERO METRIQUE]]</f>
        <v>NM05</v>
      </c>
      <c r="B538" s="70" t="str">
        <f>Matiere_premiere[[#This Row],[COULEUR]]</f>
        <v>ROSE PALE</v>
      </c>
      <c r="C538" s="70" t="str">
        <f>Matiere_premiere[[#This Row],[CODE COLEUR]]</f>
        <v>C32</v>
      </c>
      <c r="D538" s="73" t="str">
        <f>Matiere_premiere[[#This Row],[CODE FAB]]</f>
        <v>NM05-32.00</v>
      </c>
      <c r="E538" s="76" t="e" vm="195">
        <f>_xlfn.IMAGE("https://api.qrserver.com/v1/create-qr-code/?size=100x100&amp;data=" &amp; D538)</f>
        <v>#VALUE!</v>
      </c>
      <c r="F538" s="78"/>
      <c r="G538" s="73" t="str">
        <f>Matiere_premiere[[#This Row],[Num de Lot]]</f>
        <v>S2023</v>
      </c>
      <c r="H538" s="76" t="e" vm="2">
        <f>_xlfn.IMAGE("https://api.qrserver.com/v1/create-qr-code/?size=100x100&amp;data=" &amp; G538)</f>
        <v>#VALUE!</v>
      </c>
      <c r="I538" s="80"/>
      <c r="J538" s="12" t="str">
        <f>Matiere_premiere[[#This Row],[Entrepot]]</f>
        <v>E1</v>
      </c>
      <c r="K538" s="9" t="b">
        <f>IF(Matiere_premiere[[#This Row],[INVENTAIRE]]&gt;0,TRUE,FALSE)</f>
        <v>0</v>
      </c>
      <c r="L538" s="65"/>
      <c r="M538" s="8" t="s">
        <v>119</v>
      </c>
      <c r="N538" s="8" t="s">
        <v>110</v>
      </c>
      <c r="O538" s="8" t="s">
        <v>109</v>
      </c>
      <c r="P538" s="8" t="s">
        <v>122</v>
      </c>
      <c r="Q538" s="53" t="s">
        <v>69</v>
      </c>
      <c r="R538" s="8" t="s">
        <v>75</v>
      </c>
      <c r="S538" s="7">
        <v>0</v>
      </c>
      <c r="T538" s="7"/>
      <c r="U538" s="7"/>
      <c r="V538" s="7">
        <f>SUM(Matiere_premiere[[#This Row],[INVENTAIRE]],-Matiere_premiere[[#This Row],[Entrée]],-Matiere_premiere[[#This Row],[Sortis]])</f>
        <v>0</v>
      </c>
      <c r="W538" s="50" t="str">
        <f>CONCATENATE(Matiere_premiere[[#This Row],[CODE COLEUR]],"_",Matiere_premiere[[#This Row],[COULEUR]],"_",Matiere_premiere[[#This Row],[CODE FAB]],"_",Matiere_premiere[[#This Row],[Num de Lot]])</f>
        <v>C32_ROSE PALE_NM05-32.00_S2023</v>
      </c>
    </row>
    <row r="539" spans="1:23" ht="19.7" customHeight="1" thickBot="1" x14ac:dyDescent="0.3">
      <c r="A539" s="68"/>
      <c r="B539" s="71"/>
      <c r="C539" s="71"/>
      <c r="D539" s="74"/>
      <c r="E539" s="76"/>
      <c r="F539" s="78"/>
      <c r="G539" s="74"/>
      <c r="H539" s="76"/>
      <c r="I539" s="80"/>
      <c r="J539" s="11" t="str">
        <f>Matiere_premiere[[#This Row],[Entrepot]]</f>
        <v>E2</v>
      </c>
      <c r="K539" s="9" t="b">
        <f>IF(Matiere_premiere[[#This Row],[INVENTAIRE]]&gt;0,TRUE,FALSE)</f>
        <v>0</v>
      </c>
      <c r="L539" s="65"/>
      <c r="M539" s="8" t="s">
        <v>119</v>
      </c>
      <c r="N539" s="8" t="s">
        <v>110</v>
      </c>
      <c r="O539" s="8" t="s">
        <v>109</v>
      </c>
      <c r="P539" s="8" t="s">
        <v>122</v>
      </c>
      <c r="Q539" s="53" t="s">
        <v>69</v>
      </c>
      <c r="R539" s="8" t="s">
        <v>74</v>
      </c>
      <c r="S539" s="7">
        <v>0</v>
      </c>
      <c r="T539" s="7"/>
      <c r="U539" s="7"/>
      <c r="V539" s="7">
        <f>SUM(Matiere_premiere[[#This Row],[INVENTAIRE]],-Matiere_premiere[[#This Row],[Entrée]],-Matiere_premiere[[#This Row],[Sortis]])</f>
        <v>0</v>
      </c>
      <c r="W539" s="50" t="str">
        <f>CONCATENATE(Matiere_premiere[[#This Row],[CODE COLEUR]],"_",Matiere_premiere[[#This Row],[COULEUR]],"_",Matiere_premiere[[#This Row],[CODE FAB]],"_",Matiere_premiere[[#This Row],[Num de Lot]])</f>
        <v>C32_ROSE PALE_NM05-32.00_S2023</v>
      </c>
    </row>
    <row r="540" spans="1:23" ht="19.7" customHeight="1" thickBot="1" x14ac:dyDescent="0.3">
      <c r="A540" s="68"/>
      <c r="B540" s="71"/>
      <c r="C540" s="71"/>
      <c r="D540" s="74"/>
      <c r="E540" s="76"/>
      <c r="F540" s="78"/>
      <c r="G540" s="74"/>
      <c r="H540" s="76"/>
      <c r="I540" s="80"/>
      <c r="J540" s="11" t="str">
        <f>Matiere_premiere[[#This Row],[Entrepot]]</f>
        <v>E3</v>
      </c>
      <c r="K540" s="9" t="b">
        <f>IF(Matiere_premiere[[#This Row],[INVENTAIRE]]&gt;0,TRUE,FALSE)</f>
        <v>0</v>
      </c>
      <c r="L540" s="65"/>
      <c r="M540" s="8" t="s">
        <v>119</v>
      </c>
      <c r="N540" s="8" t="s">
        <v>110</v>
      </c>
      <c r="O540" s="8" t="s">
        <v>109</v>
      </c>
      <c r="P540" s="8" t="s">
        <v>122</v>
      </c>
      <c r="Q540" s="53" t="s">
        <v>69</v>
      </c>
      <c r="R540" s="8" t="s">
        <v>73</v>
      </c>
      <c r="S540" s="7">
        <v>0</v>
      </c>
      <c r="T540" s="7"/>
      <c r="U540" s="7"/>
      <c r="V540" s="7">
        <f>SUM(Matiere_premiere[[#This Row],[INVENTAIRE]],-Matiere_premiere[[#This Row],[Entrée]],-Matiere_premiere[[#This Row],[Sortis]])</f>
        <v>0</v>
      </c>
      <c r="W540" s="50" t="str">
        <f>CONCATENATE(Matiere_premiere[[#This Row],[CODE COLEUR]],"_",Matiere_premiere[[#This Row],[COULEUR]],"_",Matiere_premiere[[#This Row],[CODE FAB]],"_",Matiere_premiere[[#This Row],[Num de Lot]])</f>
        <v>C32_ROSE PALE_NM05-32.00_S2023</v>
      </c>
    </row>
    <row r="541" spans="1:23" ht="19.7" customHeight="1" thickBot="1" x14ac:dyDescent="0.3">
      <c r="A541" s="69"/>
      <c r="B541" s="72"/>
      <c r="C541" s="72"/>
      <c r="D541" s="75"/>
      <c r="E541" s="77"/>
      <c r="F541" s="79"/>
      <c r="G541" s="75"/>
      <c r="H541" s="77"/>
      <c r="I541" s="81"/>
      <c r="J541" s="10" t="str">
        <f>Matiere_premiere[[#This Row],[Entrepot]]</f>
        <v>Usine</v>
      </c>
      <c r="K541" s="9" t="b">
        <f>IF(Matiere_premiere[[#This Row],[INVENTAIRE]]&gt;0,TRUE,FALSE)</f>
        <v>0</v>
      </c>
      <c r="L541" s="66"/>
      <c r="M541" s="8" t="s">
        <v>119</v>
      </c>
      <c r="N541" s="8" t="s">
        <v>110</v>
      </c>
      <c r="O541" s="8" t="s">
        <v>109</v>
      </c>
      <c r="P541" s="8" t="s">
        <v>122</v>
      </c>
      <c r="Q541" s="53" t="s">
        <v>69</v>
      </c>
      <c r="R541" s="8" t="s">
        <v>68</v>
      </c>
      <c r="S541" s="7">
        <v>0</v>
      </c>
      <c r="T541" s="7"/>
      <c r="U541" s="7"/>
      <c r="V541" s="7">
        <f>SUM(Matiere_premiere[[#This Row],[INVENTAIRE]],-Matiere_premiere[[#This Row],[Entrée]],-Matiere_premiere[[#This Row],[Sortis]])</f>
        <v>0</v>
      </c>
      <c r="W541" s="50" t="str">
        <f>CONCATENATE(Matiere_premiere[[#This Row],[CODE COLEUR]],"_",Matiere_premiere[[#This Row],[COULEUR]],"_",Matiere_premiere[[#This Row],[CODE FAB]],"_",Matiere_premiere[[#This Row],[Num de Lot]])</f>
        <v>C32_ROSE PALE_NM05-32.00_S2023</v>
      </c>
    </row>
    <row r="542" spans="1:23" ht="19.7" customHeight="1" thickTop="1" thickBot="1" x14ac:dyDescent="0.3">
      <c r="A542" s="67" t="str">
        <f>Matiere_premiere[[#This Row],[NUMERO METRIQUE]]</f>
        <v>NM05</v>
      </c>
      <c r="B542" s="70" t="str">
        <f>Matiere_premiere[[#This Row],[COULEUR]]</f>
        <v>ROSE LOTUS</v>
      </c>
      <c r="C542" s="70" t="str">
        <f>Matiere_premiere[[#This Row],[CODE COLEUR]]</f>
        <v>C32</v>
      </c>
      <c r="D542" s="73" t="str">
        <f>Matiere_premiere[[#This Row],[CODE FAB]]</f>
        <v>NM05-32.01</v>
      </c>
      <c r="E542" s="76" t="e" vm="196">
        <f>_xlfn.IMAGE("https://api.qrserver.com/v1/create-qr-code/?size=100x100&amp;data=" &amp; D542)</f>
        <v>#VALUE!</v>
      </c>
      <c r="F542" s="78"/>
      <c r="G542" s="73">
        <f>Matiere_premiere[[#This Row],[Num de Lot]]</f>
        <v>59815</v>
      </c>
      <c r="H542" s="76" t="e" vm="197">
        <f>_xlfn.IMAGE("https://api.qrserver.com/v1/create-qr-code/?size=100x100&amp;data=" &amp; G542)</f>
        <v>#VALUE!</v>
      </c>
      <c r="I542" s="80"/>
      <c r="J542" s="12" t="str">
        <f>Matiere_premiere[[#This Row],[Entrepot]]</f>
        <v>E1</v>
      </c>
      <c r="K542" s="9" t="b">
        <f>IF(Matiere_premiere[[#This Row],[INVENTAIRE]]&gt;0,TRUE,FALSE)</f>
        <v>0</v>
      </c>
      <c r="L542" s="65"/>
      <c r="M542" s="13" t="s">
        <v>119</v>
      </c>
      <c r="N542" s="13" t="s">
        <v>121</v>
      </c>
      <c r="O542" s="13" t="s">
        <v>109</v>
      </c>
      <c r="P542" s="13" t="s">
        <v>120</v>
      </c>
      <c r="Q542" s="55">
        <v>59815</v>
      </c>
      <c r="R542" s="13" t="s">
        <v>75</v>
      </c>
      <c r="S542" s="14">
        <v>0</v>
      </c>
      <c r="T542" s="14"/>
      <c r="U542" s="14"/>
      <c r="V542" s="14">
        <f>SUM(Matiere_premiere[[#This Row],[INVENTAIRE]],-Matiere_premiere[[#This Row],[Entrée]],-Matiere_premiere[[#This Row],[Sortis]])</f>
        <v>0</v>
      </c>
      <c r="W542" s="50" t="str">
        <f>CONCATENATE(Matiere_premiere[[#This Row],[CODE COLEUR]],"_",Matiere_premiere[[#This Row],[COULEUR]],"_",Matiere_premiere[[#This Row],[CODE FAB]],"_",Matiere_premiere[[#This Row],[Num de Lot]])</f>
        <v>C32_ROSE LOTUS_NM05-32.01_59815</v>
      </c>
    </row>
    <row r="543" spans="1:23" ht="19.7" customHeight="1" thickBot="1" x14ac:dyDescent="0.3">
      <c r="A543" s="68"/>
      <c r="B543" s="71"/>
      <c r="C543" s="71"/>
      <c r="D543" s="74"/>
      <c r="E543" s="76"/>
      <c r="F543" s="78"/>
      <c r="G543" s="74"/>
      <c r="H543" s="76"/>
      <c r="I543" s="80"/>
      <c r="J543" s="11" t="str">
        <f>Matiere_premiere[[#This Row],[Entrepot]]</f>
        <v>E2</v>
      </c>
      <c r="K543" s="9" t="b">
        <f>IF(Matiere_premiere[[#This Row],[INVENTAIRE]]&gt;0,TRUE,FALSE)</f>
        <v>0</v>
      </c>
      <c r="L543" s="65"/>
      <c r="M543" s="13" t="s">
        <v>119</v>
      </c>
      <c r="N543" s="13" t="s">
        <v>121</v>
      </c>
      <c r="O543" s="13" t="s">
        <v>109</v>
      </c>
      <c r="P543" s="13" t="s">
        <v>120</v>
      </c>
      <c r="Q543" s="55">
        <v>59815</v>
      </c>
      <c r="R543" s="13" t="s">
        <v>74</v>
      </c>
      <c r="S543" s="14">
        <v>0</v>
      </c>
      <c r="T543" s="14"/>
      <c r="U543" s="14"/>
      <c r="V543" s="14">
        <f>SUM(Matiere_premiere[[#This Row],[INVENTAIRE]],-Matiere_premiere[[#This Row],[Entrée]],-Matiere_premiere[[#This Row],[Sortis]])</f>
        <v>0</v>
      </c>
      <c r="W543" s="50" t="str">
        <f>CONCATENATE(Matiere_premiere[[#This Row],[CODE COLEUR]],"_",Matiere_premiere[[#This Row],[COULEUR]],"_",Matiere_premiere[[#This Row],[CODE FAB]],"_",Matiere_premiere[[#This Row],[Num de Lot]])</f>
        <v>C32_ROSE LOTUS_NM05-32.01_59815</v>
      </c>
    </row>
    <row r="544" spans="1:23" ht="19.7" customHeight="1" thickBot="1" x14ac:dyDescent="0.3">
      <c r="A544" s="68"/>
      <c r="B544" s="71"/>
      <c r="C544" s="71"/>
      <c r="D544" s="74"/>
      <c r="E544" s="76"/>
      <c r="F544" s="78"/>
      <c r="G544" s="74"/>
      <c r="H544" s="76"/>
      <c r="I544" s="80"/>
      <c r="J544" s="11" t="str">
        <f>Matiere_premiere[[#This Row],[Entrepot]]</f>
        <v>E3</v>
      </c>
      <c r="K544" s="9" t="b">
        <f>IF(Matiere_premiere[[#This Row],[INVENTAIRE]]&gt;0,TRUE,FALSE)</f>
        <v>1</v>
      </c>
      <c r="L544" s="65"/>
      <c r="M544" s="13" t="s">
        <v>119</v>
      </c>
      <c r="N544" s="13" t="s">
        <v>121</v>
      </c>
      <c r="O544" s="13" t="s">
        <v>109</v>
      </c>
      <c r="P544" s="13" t="s">
        <v>120</v>
      </c>
      <c r="Q544" s="55">
        <v>59815</v>
      </c>
      <c r="R544" s="13" t="s">
        <v>73</v>
      </c>
      <c r="S544" s="14">
        <v>1078</v>
      </c>
      <c r="T544" s="14"/>
      <c r="U544" s="14"/>
      <c r="V544" s="14">
        <f>SUM(Matiere_premiere[[#This Row],[INVENTAIRE]],-Matiere_premiere[[#This Row],[Entrée]],-Matiere_premiere[[#This Row],[Sortis]])</f>
        <v>1078</v>
      </c>
      <c r="W544" s="50" t="str">
        <f>CONCATENATE(Matiere_premiere[[#This Row],[CODE COLEUR]],"_",Matiere_premiere[[#This Row],[COULEUR]],"_",Matiere_premiere[[#This Row],[CODE FAB]],"_",Matiere_premiere[[#This Row],[Num de Lot]])</f>
        <v>C32_ROSE LOTUS_NM05-32.01_59815</v>
      </c>
    </row>
    <row r="545" spans="1:23" ht="19.7" customHeight="1" thickBot="1" x14ac:dyDescent="0.3">
      <c r="A545" s="69"/>
      <c r="B545" s="72"/>
      <c r="C545" s="72"/>
      <c r="D545" s="75"/>
      <c r="E545" s="77"/>
      <c r="F545" s="79"/>
      <c r="G545" s="75"/>
      <c r="H545" s="77"/>
      <c r="I545" s="81"/>
      <c r="J545" s="10" t="str">
        <f>Matiere_premiere[[#This Row],[Entrepot]]</f>
        <v>Usine</v>
      </c>
      <c r="K545" s="9" t="b">
        <f>IF(Matiere_premiere[[#This Row],[INVENTAIRE]]&gt;0,TRUE,FALSE)</f>
        <v>1</v>
      </c>
      <c r="L545" s="66"/>
      <c r="M545" s="13" t="s">
        <v>119</v>
      </c>
      <c r="N545" s="13" t="s">
        <v>121</v>
      </c>
      <c r="O545" s="13" t="s">
        <v>109</v>
      </c>
      <c r="P545" s="13" t="s">
        <v>120</v>
      </c>
      <c r="Q545" s="55">
        <v>59815</v>
      </c>
      <c r="R545" s="13" t="s">
        <v>68</v>
      </c>
      <c r="S545" s="14">
        <v>57.5</v>
      </c>
      <c r="T545" s="14"/>
      <c r="U545" s="14"/>
      <c r="V545" s="14">
        <f>SUM(Matiere_premiere[[#This Row],[INVENTAIRE]],-Matiere_premiere[[#This Row],[Entrée]],-Matiere_premiere[[#This Row],[Sortis]])</f>
        <v>57.5</v>
      </c>
      <c r="W545" s="50" t="str">
        <f>CONCATENATE(Matiere_premiere[[#This Row],[CODE COLEUR]],"_",Matiere_premiere[[#This Row],[COULEUR]],"_",Matiere_premiere[[#This Row],[CODE FAB]],"_",Matiere_premiere[[#This Row],[Num de Lot]])</f>
        <v>C32_ROSE LOTUS_NM05-32.01_59815</v>
      </c>
    </row>
    <row r="546" spans="1:23" ht="19.7" customHeight="1" thickTop="1" thickBot="1" x14ac:dyDescent="0.3">
      <c r="A546" s="67" t="str">
        <f>Matiere_premiere[[#This Row],[NUMERO METRIQUE]]</f>
        <v>NM05</v>
      </c>
      <c r="B546" s="70" t="str">
        <f>Matiere_premiere[[#This Row],[COULEUR]]</f>
        <v>ROSE CLAIR</v>
      </c>
      <c r="C546" s="70" t="str">
        <f>Matiere_premiere[[#This Row],[CODE COLEUR]]</f>
        <v>C32</v>
      </c>
      <c r="D546" s="73" t="str">
        <f>Matiere_premiere[[#This Row],[CODE FAB]]</f>
        <v>NM05-32.02</v>
      </c>
      <c r="E546" s="76" t="e" vm="198">
        <f>_xlfn.IMAGE("https://api.qrserver.com/v1/create-qr-code/?size=100x100&amp;data=" &amp; D546)</f>
        <v>#VALUE!</v>
      </c>
      <c r="F546" s="78"/>
      <c r="G546" s="73">
        <f>Matiere_premiere[[#This Row],[Num de Lot]]</f>
        <v>56218</v>
      </c>
      <c r="H546" s="76" t="e" vm="199">
        <f>_xlfn.IMAGE("https://api.qrserver.com/v1/create-qr-code/?size=100x100&amp;data=" &amp; G546)</f>
        <v>#VALUE!</v>
      </c>
      <c r="I546" s="80"/>
      <c r="J546" s="12" t="str">
        <f>Matiere_premiere[[#This Row],[Entrepot]]</f>
        <v>E1</v>
      </c>
      <c r="K546" s="9" t="b">
        <f>IF(Matiere_premiere[[#This Row],[INVENTAIRE]]&gt;0,TRUE,FALSE)</f>
        <v>0</v>
      </c>
      <c r="L546" s="65"/>
      <c r="M546" s="8" t="s">
        <v>119</v>
      </c>
      <c r="N546" s="8" t="s">
        <v>118</v>
      </c>
      <c r="O546" s="8" t="s">
        <v>109</v>
      </c>
      <c r="P546" s="8" t="s">
        <v>117</v>
      </c>
      <c r="Q546" s="53">
        <v>56218</v>
      </c>
      <c r="R546" s="8" t="s">
        <v>75</v>
      </c>
      <c r="S546" s="7">
        <v>0</v>
      </c>
      <c r="T546" s="7"/>
      <c r="U546" s="7"/>
      <c r="V546" s="7">
        <f>SUM(Matiere_premiere[[#This Row],[INVENTAIRE]],-Matiere_premiere[[#This Row],[Entrée]],-Matiere_premiere[[#This Row],[Sortis]])</f>
        <v>0</v>
      </c>
      <c r="W546" s="50" t="str">
        <f>CONCATENATE(Matiere_premiere[[#This Row],[CODE COLEUR]],"_",Matiere_premiere[[#This Row],[COULEUR]],"_",Matiere_premiere[[#This Row],[CODE FAB]],"_",Matiere_premiere[[#This Row],[Num de Lot]])</f>
        <v>C32_ROSE CLAIR_NM05-32.02_56218</v>
      </c>
    </row>
    <row r="547" spans="1:23" ht="19.7" customHeight="1" thickBot="1" x14ac:dyDescent="0.3">
      <c r="A547" s="68"/>
      <c r="B547" s="71"/>
      <c r="C547" s="71"/>
      <c r="D547" s="74"/>
      <c r="E547" s="76"/>
      <c r="F547" s="78"/>
      <c r="G547" s="74"/>
      <c r="H547" s="76"/>
      <c r="I547" s="80"/>
      <c r="J547" s="11" t="str">
        <f>Matiere_premiere[[#This Row],[Entrepot]]</f>
        <v>E2</v>
      </c>
      <c r="K547" s="9" t="b">
        <f>IF(Matiere_premiere[[#This Row],[INVENTAIRE]]&gt;0,TRUE,FALSE)</f>
        <v>1</v>
      </c>
      <c r="L547" s="65"/>
      <c r="M547" s="8" t="s">
        <v>119</v>
      </c>
      <c r="N547" s="8" t="s">
        <v>118</v>
      </c>
      <c r="O547" s="8" t="s">
        <v>109</v>
      </c>
      <c r="P547" s="8" t="s">
        <v>117</v>
      </c>
      <c r="Q547" s="53">
        <v>56218</v>
      </c>
      <c r="R547" s="8" t="s">
        <v>74</v>
      </c>
      <c r="S547" s="7">
        <v>112</v>
      </c>
      <c r="T547" s="7"/>
      <c r="U547" s="7"/>
      <c r="V547" s="7">
        <f>SUM(Matiere_premiere[[#This Row],[INVENTAIRE]],-Matiere_premiere[[#This Row],[Entrée]],-Matiere_premiere[[#This Row],[Sortis]])</f>
        <v>112</v>
      </c>
      <c r="W547" s="50" t="str">
        <f>CONCATENATE(Matiere_premiere[[#This Row],[CODE COLEUR]],"_",Matiere_premiere[[#This Row],[COULEUR]],"_",Matiere_premiere[[#This Row],[CODE FAB]],"_",Matiere_premiere[[#This Row],[Num de Lot]])</f>
        <v>C32_ROSE CLAIR_NM05-32.02_56218</v>
      </c>
    </row>
    <row r="548" spans="1:23" ht="19.7" customHeight="1" thickBot="1" x14ac:dyDescent="0.3">
      <c r="A548" s="68"/>
      <c r="B548" s="71"/>
      <c r="C548" s="71"/>
      <c r="D548" s="74"/>
      <c r="E548" s="76"/>
      <c r="F548" s="78"/>
      <c r="G548" s="74"/>
      <c r="H548" s="76"/>
      <c r="I548" s="80"/>
      <c r="J548" s="11" t="str">
        <f>Matiere_premiere[[#This Row],[Entrepot]]</f>
        <v>E3</v>
      </c>
      <c r="K548" s="9" t="b">
        <f>IF(Matiere_premiere[[#This Row],[INVENTAIRE]]&gt;0,TRUE,FALSE)</f>
        <v>0</v>
      </c>
      <c r="L548" s="65"/>
      <c r="M548" s="8" t="s">
        <v>119</v>
      </c>
      <c r="N548" s="8" t="s">
        <v>118</v>
      </c>
      <c r="O548" s="8" t="s">
        <v>109</v>
      </c>
      <c r="P548" s="8" t="s">
        <v>117</v>
      </c>
      <c r="Q548" s="53">
        <v>56218</v>
      </c>
      <c r="R548" s="8" t="s">
        <v>73</v>
      </c>
      <c r="S548" s="7">
        <v>0</v>
      </c>
      <c r="T548" s="7"/>
      <c r="U548" s="7"/>
      <c r="V548" s="7">
        <f>SUM(Matiere_premiere[[#This Row],[INVENTAIRE]],-Matiere_premiere[[#This Row],[Entrée]],-Matiere_premiere[[#This Row],[Sortis]])</f>
        <v>0</v>
      </c>
      <c r="W548" s="50" t="str">
        <f>CONCATENATE(Matiere_premiere[[#This Row],[CODE COLEUR]],"_",Matiere_premiere[[#This Row],[COULEUR]],"_",Matiere_premiere[[#This Row],[CODE FAB]],"_",Matiere_premiere[[#This Row],[Num de Lot]])</f>
        <v>C32_ROSE CLAIR_NM05-32.02_56218</v>
      </c>
    </row>
    <row r="549" spans="1:23" ht="19.7" customHeight="1" thickBot="1" x14ac:dyDescent="0.3">
      <c r="A549" s="69"/>
      <c r="B549" s="72"/>
      <c r="C549" s="72"/>
      <c r="D549" s="75"/>
      <c r="E549" s="77"/>
      <c r="F549" s="79"/>
      <c r="G549" s="75"/>
      <c r="H549" s="77"/>
      <c r="I549" s="81"/>
      <c r="J549" s="10" t="str">
        <f>Matiere_premiere[[#This Row],[Entrepot]]</f>
        <v>Usine</v>
      </c>
      <c r="K549" s="9" t="b">
        <f>IF(Matiere_premiere[[#This Row],[INVENTAIRE]]&gt;0,TRUE,FALSE)</f>
        <v>0</v>
      </c>
      <c r="L549" s="66"/>
      <c r="M549" s="8" t="s">
        <v>119</v>
      </c>
      <c r="N549" s="8" t="s">
        <v>118</v>
      </c>
      <c r="O549" s="8" t="s">
        <v>109</v>
      </c>
      <c r="P549" s="8" t="s">
        <v>117</v>
      </c>
      <c r="Q549" s="53">
        <v>56218</v>
      </c>
      <c r="R549" s="8" t="s">
        <v>68</v>
      </c>
      <c r="S549" s="7">
        <v>0</v>
      </c>
      <c r="T549" s="7"/>
      <c r="U549" s="7"/>
      <c r="V549" s="7">
        <f>SUM(Matiere_premiere[[#This Row],[INVENTAIRE]],-Matiere_premiere[[#This Row],[Entrée]],-Matiere_premiere[[#This Row],[Sortis]])</f>
        <v>0</v>
      </c>
      <c r="W549" s="50" t="str">
        <f>CONCATENATE(Matiere_premiere[[#This Row],[CODE COLEUR]],"_",Matiere_premiere[[#This Row],[COULEUR]],"_",Matiere_premiere[[#This Row],[CODE FAB]],"_",Matiere_premiere[[#This Row],[Num de Lot]])</f>
        <v>C32_ROSE CLAIR_NM05-32.02_56218</v>
      </c>
    </row>
    <row r="550" spans="1:23" ht="19.7" customHeight="1" thickTop="1" thickBot="1" x14ac:dyDescent="0.3">
      <c r="A550" s="67" t="str">
        <f>Matiere_premiere[[#This Row],[NUMERO METRIQUE]]</f>
        <v>NM10</v>
      </c>
      <c r="B550" s="70" t="str">
        <f>Matiere_premiere[[#This Row],[COULEUR]]</f>
        <v>VIEUX ROSE</v>
      </c>
      <c r="C550" s="70" t="str">
        <f>Matiere_premiere[[#This Row],[CODE COLEUR]]</f>
        <v>C32</v>
      </c>
      <c r="D550" s="73" t="str">
        <f>Matiere_premiere[[#This Row],[CODE FAB]]</f>
        <v>NM10-32.00</v>
      </c>
      <c r="E550" s="76" t="e" vm="200">
        <f>_xlfn.IMAGE("https://api.qrserver.com/v1/create-qr-code/?size=100x100&amp;data=" &amp; D550)</f>
        <v>#VALUE!</v>
      </c>
      <c r="F550" s="78"/>
      <c r="G550" s="73">
        <f>Matiere_premiere[[#This Row],[Num de Lot]]</f>
        <v>59550</v>
      </c>
      <c r="H550" s="76" t="e" vm="201">
        <f>_xlfn.IMAGE("https://api.qrserver.com/v1/create-qr-code/?size=100x100&amp;data=" &amp; G550)</f>
        <v>#VALUE!</v>
      </c>
      <c r="I550" s="80"/>
      <c r="J550" s="12" t="str">
        <f>Matiere_premiere[[#This Row],[Entrepot]]</f>
        <v>E1</v>
      </c>
      <c r="K550" s="9" t="b">
        <f>IF(Matiere_premiere[[#This Row],[INVENTAIRE]]&gt;0,TRUE,FALSE)</f>
        <v>0</v>
      </c>
      <c r="L550" s="65"/>
      <c r="M550" s="13" t="s">
        <v>116</v>
      </c>
      <c r="N550" s="13" t="s">
        <v>114</v>
      </c>
      <c r="O550" s="13" t="s">
        <v>109</v>
      </c>
      <c r="P550" s="13" t="s">
        <v>115</v>
      </c>
      <c r="Q550" s="55">
        <v>59550</v>
      </c>
      <c r="R550" s="13" t="s">
        <v>75</v>
      </c>
      <c r="S550" s="14">
        <v>0</v>
      </c>
      <c r="T550" s="14"/>
      <c r="U550" s="14"/>
      <c r="V550" s="14">
        <f>SUM(Matiere_premiere[[#This Row],[INVENTAIRE]],-Matiere_premiere[[#This Row],[Entrée]],-Matiere_premiere[[#This Row],[Sortis]])</f>
        <v>0</v>
      </c>
      <c r="W550" s="50" t="str">
        <f>CONCATENATE(Matiere_premiere[[#This Row],[CODE COLEUR]],"_",Matiere_premiere[[#This Row],[COULEUR]],"_",Matiere_premiere[[#This Row],[CODE FAB]],"_",Matiere_premiere[[#This Row],[Num de Lot]])</f>
        <v>C32_VIEUX ROSE_NM10-32.00_59550</v>
      </c>
    </row>
    <row r="551" spans="1:23" ht="19.7" customHeight="1" thickBot="1" x14ac:dyDescent="0.3">
      <c r="A551" s="68"/>
      <c r="B551" s="71"/>
      <c r="C551" s="71"/>
      <c r="D551" s="74"/>
      <c r="E551" s="76"/>
      <c r="F551" s="78"/>
      <c r="G551" s="74"/>
      <c r="H551" s="76"/>
      <c r="I551" s="80"/>
      <c r="J551" s="11" t="str">
        <f>Matiere_premiere[[#This Row],[Entrepot]]</f>
        <v>E2</v>
      </c>
      <c r="K551" s="9" t="b">
        <f>IF(Matiere_premiere[[#This Row],[INVENTAIRE]]&gt;0,TRUE,FALSE)</f>
        <v>0</v>
      </c>
      <c r="L551" s="65"/>
      <c r="M551" s="13" t="s">
        <v>116</v>
      </c>
      <c r="N551" s="13" t="s">
        <v>114</v>
      </c>
      <c r="O551" s="13" t="s">
        <v>109</v>
      </c>
      <c r="P551" s="13" t="s">
        <v>115</v>
      </c>
      <c r="Q551" s="55">
        <v>59550</v>
      </c>
      <c r="R551" s="13" t="s">
        <v>74</v>
      </c>
      <c r="S551" s="14">
        <v>0</v>
      </c>
      <c r="T551" s="14"/>
      <c r="U551" s="14"/>
      <c r="V551" s="14">
        <f>SUM(Matiere_premiere[[#This Row],[INVENTAIRE]],-Matiere_premiere[[#This Row],[Entrée]],-Matiere_premiere[[#This Row],[Sortis]])</f>
        <v>0</v>
      </c>
      <c r="W551" s="50" t="str">
        <f>CONCATENATE(Matiere_premiere[[#This Row],[CODE COLEUR]],"_",Matiere_premiere[[#This Row],[COULEUR]],"_",Matiere_premiere[[#This Row],[CODE FAB]],"_",Matiere_premiere[[#This Row],[Num de Lot]])</f>
        <v>C32_VIEUX ROSE_NM10-32.00_59550</v>
      </c>
    </row>
    <row r="552" spans="1:23" ht="19.7" customHeight="1" thickBot="1" x14ac:dyDescent="0.3">
      <c r="A552" s="68"/>
      <c r="B552" s="71"/>
      <c r="C552" s="71"/>
      <c r="D552" s="74"/>
      <c r="E552" s="76"/>
      <c r="F552" s="78"/>
      <c r="G552" s="74"/>
      <c r="H552" s="76"/>
      <c r="I552" s="80"/>
      <c r="J552" s="11" t="str">
        <f>Matiere_premiere[[#This Row],[Entrepot]]</f>
        <v>E3</v>
      </c>
      <c r="K552" s="9" t="b">
        <f>IF(Matiere_premiere[[#This Row],[INVENTAIRE]]&gt;0,TRUE,FALSE)</f>
        <v>0</v>
      </c>
      <c r="L552" s="65"/>
      <c r="M552" s="13" t="s">
        <v>116</v>
      </c>
      <c r="N552" s="13" t="s">
        <v>114</v>
      </c>
      <c r="O552" s="13" t="s">
        <v>109</v>
      </c>
      <c r="P552" s="13" t="s">
        <v>115</v>
      </c>
      <c r="Q552" s="55">
        <v>59550</v>
      </c>
      <c r="R552" s="13" t="s">
        <v>73</v>
      </c>
      <c r="S552" s="14">
        <v>0</v>
      </c>
      <c r="T552" s="14"/>
      <c r="U552" s="14"/>
      <c r="V552" s="14">
        <f>SUM(Matiere_premiere[[#This Row],[INVENTAIRE]],-Matiere_premiere[[#This Row],[Entrée]],-Matiere_premiere[[#This Row],[Sortis]])</f>
        <v>0</v>
      </c>
      <c r="W552" s="50" t="str">
        <f>CONCATENATE(Matiere_premiere[[#This Row],[CODE COLEUR]],"_",Matiere_premiere[[#This Row],[COULEUR]],"_",Matiere_premiere[[#This Row],[CODE FAB]],"_",Matiere_premiere[[#This Row],[Num de Lot]])</f>
        <v>C32_VIEUX ROSE_NM10-32.00_59550</v>
      </c>
    </row>
    <row r="553" spans="1:23" ht="19.7" customHeight="1" thickBot="1" x14ac:dyDescent="0.3">
      <c r="A553" s="69"/>
      <c r="B553" s="72"/>
      <c r="C553" s="72"/>
      <c r="D553" s="75"/>
      <c r="E553" s="77"/>
      <c r="F553" s="79"/>
      <c r="G553" s="75"/>
      <c r="H553" s="77"/>
      <c r="I553" s="81"/>
      <c r="J553" s="10" t="str">
        <f>Matiere_premiere[[#This Row],[Entrepot]]</f>
        <v>Usine</v>
      </c>
      <c r="K553" s="9" t="b">
        <f>IF(Matiere_premiere[[#This Row],[INVENTAIRE]]&gt;0,TRUE,FALSE)</f>
        <v>0</v>
      </c>
      <c r="L553" s="66"/>
      <c r="M553" s="13" t="s">
        <v>116</v>
      </c>
      <c r="N553" s="13" t="s">
        <v>114</v>
      </c>
      <c r="O553" s="13" t="s">
        <v>109</v>
      </c>
      <c r="P553" s="13" t="s">
        <v>115</v>
      </c>
      <c r="Q553" s="55">
        <v>59550</v>
      </c>
      <c r="R553" s="13" t="s">
        <v>68</v>
      </c>
      <c r="S553" s="14">
        <v>0</v>
      </c>
      <c r="T553" s="14"/>
      <c r="U553" s="14"/>
      <c r="V553" s="14">
        <f>SUM(Matiere_premiere[[#This Row],[INVENTAIRE]],-Matiere_premiere[[#This Row],[Entrée]],-Matiere_premiere[[#This Row],[Sortis]])</f>
        <v>0</v>
      </c>
      <c r="W553" s="50" t="str">
        <f>CONCATENATE(Matiere_premiere[[#This Row],[CODE COLEUR]],"_",Matiere_premiere[[#This Row],[COULEUR]],"_",Matiere_premiere[[#This Row],[CODE FAB]],"_",Matiere_premiere[[#This Row],[Num de Lot]])</f>
        <v>C32_VIEUX ROSE_NM10-32.00_59550</v>
      </c>
    </row>
    <row r="554" spans="1:23" ht="19.7" customHeight="1" thickTop="1" thickBot="1" x14ac:dyDescent="0.3">
      <c r="A554" s="67" t="str">
        <f>Matiere_premiere[[#This Row],[NUMERO METRIQUE]]</f>
        <v>NM15</v>
      </c>
      <c r="B554" s="70" t="str">
        <f>Matiere_premiere[[#This Row],[COULEUR]]</f>
        <v>VIEUX ROSE</v>
      </c>
      <c r="C554" s="70" t="str">
        <f>Matiere_premiere[[#This Row],[CODE COLEUR]]</f>
        <v>C32</v>
      </c>
      <c r="D554" s="73" t="str">
        <f>Matiere_premiere[[#This Row],[CODE FAB]]</f>
        <v>NM15-32.00</v>
      </c>
      <c r="E554" s="76" t="e" vm="202">
        <f>_xlfn.IMAGE("https://api.qrserver.com/v1/create-qr-code/?size=100x100&amp;data=" &amp; D554)</f>
        <v>#VALUE!</v>
      </c>
      <c r="F554" s="78"/>
      <c r="G554" s="73">
        <f>Matiere_premiere[[#This Row],[Num de Lot]]</f>
        <v>61455</v>
      </c>
      <c r="H554" s="76" t="e" vm="203">
        <f>_xlfn.IMAGE("https://api.qrserver.com/v1/create-qr-code/?size=100x100&amp;data=" &amp; G554)</f>
        <v>#VALUE!</v>
      </c>
      <c r="I554" s="80"/>
      <c r="J554" s="12" t="str">
        <f>Matiere_premiere[[#This Row],[Entrepot]]</f>
        <v>E1</v>
      </c>
      <c r="K554" s="9" t="b">
        <f>IF(Matiere_premiere[[#This Row],[INVENTAIRE]]&gt;0,TRUE,FALSE)</f>
        <v>1</v>
      </c>
      <c r="L554" s="65"/>
      <c r="M554" s="8" t="s">
        <v>103</v>
      </c>
      <c r="N554" s="8" t="s">
        <v>114</v>
      </c>
      <c r="O554" s="8" t="s">
        <v>109</v>
      </c>
      <c r="P554" s="8" t="s">
        <v>113</v>
      </c>
      <c r="Q554" s="53">
        <v>61455</v>
      </c>
      <c r="R554" s="8" t="s">
        <v>75</v>
      </c>
      <c r="S554" s="7">
        <v>259.5</v>
      </c>
      <c r="T554" s="7"/>
      <c r="U554" s="7"/>
      <c r="V554" s="7">
        <f>SUM(Matiere_premiere[[#This Row],[INVENTAIRE]],-Matiere_premiere[[#This Row],[Entrée]],-Matiere_premiere[[#This Row],[Sortis]])</f>
        <v>259.5</v>
      </c>
      <c r="W554" s="50" t="str">
        <f>CONCATENATE(Matiere_premiere[[#This Row],[CODE COLEUR]],"_",Matiere_premiere[[#This Row],[COULEUR]],"_",Matiere_premiere[[#This Row],[CODE FAB]],"_",Matiere_premiere[[#This Row],[Num de Lot]])</f>
        <v>C32_VIEUX ROSE_NM15-32.00_61455</v>
      </c>
    </row>
    <row r="555" spans="1:23" ht="19.7" customHeight="1" thickBot="1" x14ac:dyDescent="0.3">
      <c r="A555" s="68"/>
      <c r="B555" s="71"/>
      <c r="C555" s="71"/>
      <c r="D555" s="74"/>
      <c r="E555" s="76"/>
      <c r="F555" s="78"/>
      <c r="G555" s="74"/>
      <c r="H555" s="76"/>
      <c r="I555" s="80"/>
      <c r="J555" s="11" t="str">
        <f>Matiere_premiere[[#This Row],[Entrepot]]</f>
        <v>E2</v>
      </c>
      <c r="K555" s="9" t="b">
        <f>IF(Matiere_premiere[[#This Row],[INVENTAIRE]]&gt;0,TRUE,FALSE)</f>
        <v>0</v>
      </c>
      <c r="L555" s="65"/>
      <c r="M555" s="8" t="s">
        <v>103</v>
      </c>
      <c r="N555" s="8" t="s">
        <v>114</v>
      </c>
      <c r="O555" s="8" t="s">
        <v>109</v>
      </c>
      <c r="P555" s="8" t="s">
        <v>113</v>
      </c>
      <c r="Q555" s="53">
        <v>61455</v>
      </c>
      <c r="R555" s="8" t="s">
        <v>74</v>
      </c>
      <c r="S555" s="7">
        <v>0</v>
      </c>
      <c r="T555" s="7"/>
      <c r="U555" s="7"/>
      <c r="V555" s="7">
        <f>SUM(Matiere_premiere[[#This Row],[INVENTAIRE]],-Matiere_premiere[[#This Row],[Entrée]],-Matiere_premiere[[#This Row],[Sortis]])</f>
        <v>0</v>
      </c>
      <c r="W555" s="50" t="str">
        <f>CONCATENATE(Matiere_premiere[[#This Row],[CODE COLEUR]],"_",Matiere_premiere[[#This Row],[COULEUR]],"_",Matiere_premiere[[#This Row],[CODE FAB]],"_",Matiere_premiere[[#This Row],[Num de Lot]])</f>
        <v>C32_VIEUX ROSE_NM15-32.00_61455</v>
      </c>
    </row>
    <row r="556" spans="1:23" ht="19.7" customHeight="1" thickBot="1" x14ac:dyDescent="0.3">
      <c r="A556" s="68"/>
      <c r="B556" s="71"/>
      <c r="C556" s="71"/>
      <c r="D556" s="74"/>
      <c r="E556" s="76"/>
      <c r="F556" s="78"/>
      <c r="G556" s="74"/>
      <c r="H556" s="76"/>
      <c r="I556" s="80"/>
      <c r="J556" s="11" t="str">
        <f>Matiere_premiere[[#This Row],[Entrepot]]</f>
        <v>E3</v>
      </c>
      <c r="K556" s="9" t="b">
        <f>IF(Matiere_premiere[[#This Row],[INVENTAIRE]]&gt;0,TRUE,FALSE)</f>
        <v>0</v>
      </c>
      <c r="L556" s="65"/>
      <c r="M556" s="8" t="s">
        <v>103</v>
      </c>
      <c r="N556" s="8" t="s">
        <v>114</v>
      </c>
      <c r="O556" s="8" t="s">
        <v>109</v>
      </c>
      <c r="P556" s="8" t="s">
        <v>113</v>
      </c>
      <c r="Q556" s="53">
        <v>61455</v>
      </c>
      <c r="R556" s="8" t="s">
        <v>73</v>
      </c>
      <c r="S556" s="7">
        <v>0</v>
      </c>
      <c r="T556" s="7"/>
      <c r="U556" s="7"/>
      <c r="V556" s="7">
        <f>SUM(Matiere_premiere[[#This Row],[INVENTAIRE]],-Matiere_premiere[[#This Row],[Entrée]],-Matiere_premiere[[#This Row],[Sortis]])</f>
        <v>0</v>
      </c>
      <c r="W556" s="50" t="str">
        <f>CONCATENATE(Matiere_premiere[[#This Row],[CODE COLEUR]],"_",Matiere_premiere[[#This Row],[COULEUR]],"_",Matiere_premiere[[#This Row],[CODE FAB]],"_",Matiere_premiere[[#This Row],[Num de Lot]])</f>
        <v>C32_VIEUX ROSE_NM15-32.00_61455</v>
      </c>
    </row>
    <row r="557" spans="1:23" ht="19.7" customHeight="1" thickBot="1" x14ac:dyDescent="0.3">
      <c r="A557" s="69"/>
      <c r="B557" s="72"/>
      <c r="C557" s="72"/>
      <c r="D557" s="75"/>
      <c r="E557" s="77"/>
      <c r="F557" s="79"/>
      <c r="G557" s="75"/>
      <c r="H557" s="77"/>
      <c r="I557" s="81"/>
      <c r="J557" s="10" t="str">
        <f>Matiere_premiere[[#This Row],[Entrepot]]</f>
        <v>Usine</v>
      </c>
      <c r="K557" s="9" t="b">
        <f>IF(Matiere_premiere[[#This Row],[INVENTAIRE]]&gt;0,TRUE,FALSE)</f>
        <v>1</v>
      </c>
      <c r="L557" s="66"/>
      <c r="M557" s="8" t="s">
        <v>103</v>
      </c>
      <c r="N557" s="8" t="s">
        <v>114</v>
      </c>
      <c r="O557" s="8" t="s">
        <v>109</v>
      </c>
      <c r="P557" s="8" t="s">
        <v>113</v>
      </c>
      <c r="Q557" s="53">
        <v>61455</v>
      </c>
      <c r="R557" s="8" t="s">
        <v>68</v>
      </c>
      <c r="S557" s="7">
        <v>279</v>
      </c>
      <c r="T557" s="7"/>
      <c r="U557" s="7"/>
      <c r="V557" s="7">
        <f>SUM(Matiere_premiere[[#This Row],[INVENTAIRE]],-Matiere_premiere[[#This Row],[Entrée]],-Matiere_premiere[[#This Row],[Sortis]])</f>
        <v>279</v>
      </c>
      <c r="W557" s="50" t="str">
        <f>CONCATENATE(Matiere_premiere[[#This Row],[CODE COLEUR]],"_",Matiere_premiere[[#This Row],[COULEUR]],"_",Matiere_premiere[[#This Row],[CODE FAB]],"_",Matiere_premiere[[#This Row],[Num de Lot]])</f>
        <v>C32_VIEUX ROSE_NM15-32.00_61455</v>
      </c>
    </row>
    <row r="558" spans="1:23" ht="19.7" customHeight="1" thickTop="1" thickBot="1" x14ac:dyDescent="0.3">
      <c r="A558" s="67" t="str">
        <f>Matiere_premiere[[#This Row],[NUMERO METRIQUE]]</f>
        <v>NM15</v>
      </c>
      <c r="B558" s="70" t="str">
        <f>Matiere_premiere[[#This Row],[COULEUR]]</f>
        <v>ROSE BB</v>
      </c>
      <c r="C558" s="70" t="str">
        <f>Matiere_premiere[[#This Row],[CODE COLEUR]]</f>
        <v>C32</v>
      </c>
      <c r="D558" s="73" t="str">
        <f>Matiere_premiere[[#This Row],[CODE FAB]]</f>
        <v>NM15-32.02</v>
      </c>
      <c r="E558" s="76" t="e" vm="204">
        <f>_xlfn.IMAGE("https://api.qrserver.com/v1/create-qr-code/?size=100x100&amp;data=" &amp; D558)</f>
        <v>#VALUE!</v>
      </c>
      <c r="F558" s="78"/>
      <c r="G558" s="73" t="str">
        <f>Matiere_premiere[[#This Row],[Num de Lot]]</f>
        <v>S2023</v>
      </c>
      <c r="H558" s="76" t="e" vm="2">
        <f>_xlfn.IMAGE("https://api.qrserver.com/v1/create-qr-code/?size=100x100&amp;data=" &amp; G558)</f>
        <v>#VALUE!</v>
      </c>
      <c r="I558" s="80"/>
      <c r="J558" s="12" t="str">
        <f>Matiere_premiere[[#This Row],[Entrepot]]</f>
        <v>E1</v>
      </c>
      <c r="K558" s="9" t="b">
        <f>IF(Matiere_premiere[[#This Row],[INVENTAIRE]]&gt;0,TRUE,FALSE)</f>
        <v>0</v>
      </c>
      <c r="L558" s="65"/>
      <c r="M558" s="13" t="s">
        <v>103</v>
      </c>
      <c r="N558" s="13" t="s">
        <v>112</v>
      </c>
      <c r="O558" s="13" t="s">
        <v>109</v>
      </c>
      <c r="P558" s="13" t="s">
        <v>111</v>
      </c>
      <c r="Q558" s="55" t="s">
        <v>69</v>
      </c>
      <c r="R558" s="13" t="s">
        <v>75</v>
      </c>
      <c r="S558" s="14">
        <v>0</v>
      </c>
      <c r="T558" s="14"/>
      <c r="U558" s="14"/>
      <c r="V558" s="14">
        <f>SUM(Matiere_premiere[[#This Row],[INVENTAIRE]],-Matiere_premiere[[#This Row],[Entrée]],-Matiere_premiere[[#This Row],[Sortis]])</f>
        <v>0</v>
      </c>
      <c r="W558" s="50" t="str">
        <f>CONCATENATE(Matiere_premiere[[#This Row],[CODE COLEUR]],"_",Matiere_premiere[[#This Row],[COULEUR]],"_",Matiere_premiere[[#This Row],[CODE FAB]],"_",Matiere_premiere[[#This Row],[Num de Lot]])</f>
        <v>C32_ROSE BB_NM15-32.02_S2023</v>
      </c>
    </row>
    <row r="559" spans="1:23" ht="19.7" customHeight="1" thickBot="1" x14ac:dyDescent="0.3">
      <c r="A559" s="68"/>
      <c r="B559" s="71"/>
      <c r="C559" s="71"/>
      <c r="D559" s="74"/>
      <c r="E559" s="76"/>
      <c r="F559" s="78"/>
      <c r="G559" s="74"/>
      <c r="H559" s="76"/>
      <c r="I559" s="80"/>
      <c r="J559" s="11" t="str">
        <f>Matiere_premiere[[#This Row],[Entrepot]]</f>
        <v>E2</v>
      </c>
      <c r="K559" s="9" t="b">
        <f>IF(Matiere_premiere[[#This Row],[INVENTAIRE]]&gt;0,TRUE,FALSE)</f>
        <v>0</v>
      </c>
      <c r="L559" s="65"/>
      <c r="M559" s="13" t="s">
        <v>103</v>
      </c>
      <c r="N559" s="13" t="s">
        <v>112</v>
      </c>
      <c r="O559" s="13" t="s">
        <v>109</v>
      </c>
      <c r="P559" s="13" t="s">
        <v>111</v>
      </c>
      <c r="Q559" s="55" t="s">
        <v>69</v>
      </c>
      <c r="R559" s="13" t="s">
        <v>74</v>
      </c>
      <c r="S559" s="14">
        <v>0</v>
      </c>
      <c r="T559" s="14"/>
      <c r="U559" s="14"/>
      <c r="V559" s="14">
        <f>SUM(Matiere_premiere[[#This Row],[INVENTAIRE]],-Matiere_premiere[[#This Row],[Entrée]],-Matiere_premiere[[#This Row],[Sortis]])</f>
        <v>0</v>
      </c>
      <c r="W559" s="50" t="str">
        <f>CONCATENATE(Matiere_premiere[[#This Row],[CODE COLEUR]],"_",Matiere_premiere[[#This Row],[COULEUR]],"_",Matiere_premiere[[#This Row],[CODE FAB]],"_",Matiere_premiere[[#This Row],[Num de Lot]])</f>
        <v>C32_ROSE BB_NM15-32.02_S2023</v>
      </c>
    </row>
    <row r="560" spans="1:23" ht="19.7" customHeight="1" thickBot="1" x14ac:dyDescent="0.3">
      <c r="A560" s="68"/>
      <c r="B560" s="71"/>
      <c r="C560" s="71"/>
      <c r="D560" s="74"/>
      <c r="E560" s="76"/>
      <c r="F560" s="78"/>
      <c r="G560" s="74"/>
      <c r="H560" s="76"/>
      <c r="I560" s="80"/>
      <c r="J560" s="11" t="str">
        <f>Matiere_premiere[[#This Row],[Entrepot]]</f>
        <v>E3</v>
      </c>
      <c r="K560" s="9" t="b">
        <f>IF(Matiere_premiere[[#This Row],[INVENTAIRE]]&gt;0,TRUE,FALSE)</f>
        <v>0</v>
      </c>
      <c r="L560" s="65"/>
      <c r="M560" s="13" t="s">
        <v>103</v>
      </c>
      <c r="N560" s="13" t="s">
        <v>112</v>
      </c>
      <c r="O560" s="13" t="s">
        <v>109</v>
      </c>
      <c r="P560" s="13" t="s">
        <v>111</v>
      </c>
      <c r="Q560" s="55" t="s">
        <v>69</v>
      </c>
      <c r="R560" s="13" t="s">
        <v>73</v>
      </c>
      <c r="S560" s="14">
        <v>0</v>
      </c>
      <c r="T560" s="14"/>
      <c r="U560" s="14"/>
      <c r="V560" s="14">
        <f>SUM(Matiere_premiere[[#This Row],[INVENTAIRE]],-Matiere_premiere[[#This Row],[Entrée]],-Matiere_premiere[[#This Row],[Sortis]])</f>
        <v>0</v>
      </c>
      <c r="W560" s="50" t="str">
        <f>CONCATENATE(Matiere_premiere[[#This Row],[CODE COLEUR]],"_",Matiere_premiere[[#This Row],[COULEUR]],"_",Matiere_premiere[[#This Row],[CODE FAB]],"_",Matiere_premiere[[#This Row],[Num de Lot]])</f>
        <v>C32_ROSE BB_NM15-32.02_S2023</v>
      </c>
    </row>
    <row r="561" spans="1:23" ht="19.7" customHeight="1" thickBot="1" x14ac:dyDescent="0.3">
      <c r="A561" s="69"/>
      <c r="B561" s="72"/>
      <c r="C561" s="72"/>
      <c r="D561" s="75"/>
      <c r="E561" s="77"/>
      <c r="F561" s="79"/>
      <c r="G561" s="75"/>
      <c r="H561" s="77"/>
      <c r="I561" s="81"/>
      <c r="J561" s="10" t="str">
        <f>Matiere_premiere[[#This Row],[Entrepot]]</f>
        <v>Usine</v>
      </c>
      <c r="K561" s="9" t="b">
        <f>IF(Matiere_premiere[[#This Row],[INVENTAIRE]]&gt;0,TRUE,FALSE)</f>
        <v>1</v>
      </c>
      <c r="L561" s="66"/>
      <c r="M561" s="13" t="s">
        <v>103</v>
      </c>
      <c r="N561" s="13" t="s">
        <v>112</v>
      </c>
      <c r="O561" s="13" t="s">
        <v>109</v>
      </c>
      <c r="P561" s="13" t="s">
        <v>111</v>
      </c>
      <c r="Q561" s="55" t="s">
        <v>69</v>
      </c>
      <c r="R561" s="13" t="s">
        <v>68</v>
      </c>
      <c r="S561" s="14">
        <v>185.5</v>
      </c>
      <c r="T561" s="14"/>
      <c r="U561" s="14"/>
      <c r="V561" s="14">
        <f>SUM(Matiere_premiere[[#This Row],[INVENTAIRE]],-Matiere_premiere[[#This Row],[Entrée]],-Matiere_premiere[[#This Row],[Sortis]])</f>
        <v>185.5</v>
      </c>
      <c r="W561" s="50" t="str">
        <f>CONCATENATE(Matiere_premiere[[#This Row],[CODE COLEUR]],"_",Matiere_premiere[[#This Row],[COULEUR]],"_",Matiere_premiere[[#This Row],[CODE FAB]],"_",Matiere_premiere[[#This Row],[Num de Lot]])</f>
        <v>C32_ROSE BB_NM15-32.02_S2023</v>
      </c>
    </row>
    <row r="562" spans="1:23" ht="19.7" customHeight="1" thickTop="1" thickBot="1" x14ac:dyDescent="0.3">
      <c r="A562" s="67" t="str">
        <f>Matiere_premiere[[#This Row],[NUMERO METRIQUE]]</f>
        <v>NM20</v>
      </c>
      <c r="B562" s="70" t="str">
        <f>Matiere_premiere[[#This Row],[COULEUR]]</f>
        <v>ROSE PALE</v>
      </c>
      <c r="C562" s="70" t="str">
        <f>Matiere_premiere[[#This Row],[CODE COLEUR]]</f>
        <v>C32</v>
      </c>
      <c r="D562" s="73" t="str">
        <f>Matiere_premiere[[#This Row],[CODE FAB]]</f>
        <v>NM20-32-02</v>
      </c>
      <c r="E562" s="76" t="e" vm="205">
        <f>_xlfn.IMAGE("https://api.qrserver.com/v1/create-qr-code/?size=100x100&amp;data=" &amp; D562)</f>
        <v>#VALUE!</v>
      </c>
      <c r="F562" s="78"/>
      <c r="G562" s="73" t="str">
        <f>Matiere_premiere[[#This Row],[Num de Lot]]</f>
        <v>S2022</v>
      </c>
      <c r="H562" s="76" t="e" vm="82">
        <f>_xlfn.IMAGE("https://api.qrserver.com/v1/create-qr-code/?size=100x100&amp;data=" &amp; G562)</f>
        <v>#VALUE!</v>
      </c>
      <c r="I562" s="80"/>
      <c r="J562" s="12" t="str">
        <f>Matiere_premiere[[#This Row],[Entrepot]]</f>
        <v>E1</v>
      </c>
      <c r="K562" s="9" t="b">
        <f>IF(Matiere_premiere[[#This Row],[INVENTAIRE]]&gt;0,TRUE,FALSE)</f>
        <v>1</v>
      </c>
      <c r="L562" s="65"/>
      <c r="M562" s="8" t="s">
        <v>82</v>
      </c>
      <c r="N562" s="8" t="s">
        <v>110</v>
      </c>
      <c r="O562" s="8" t="s">
        <v>109</v>
      </c>
      <c r="P562" s="8" t="s">
        <v>108</v>
      </c>
      <c r="Q562" s="53" t="s">
        <v>107</v>
      </c>
      <c r="R562" s="8" t="s">
        <v>75</v>
      </c>
      <c r="S562" s="7">
        <v>27.5</v>
      </c>
      <c r="T562" s="7"/>
      <c r="U562" s="7"/>
      <c r="V562" s="7">
        <f>SUM(Matiere_premiere[[#This Row],[INVENTAIRE]],-Matiere_premiere[[#This Row],[Entrée]],-Matiere_premiere[[#This Row],[Sortis]])</f>
        <v>27.5</v>
      </c>
      <c r="W562" s="50" t="str">
        <f>CONCATENATE(Matiere_premiere[[#This Row],[CODE COLEUR]],"_",Matiere_premiere[[#This Row],[COULEUR]],"_",Matiere_premiere[[#This Row],[CODE FAB]],"_",Matiere_premiere[[#This Row],[Num de Lot]])</f>
        <v>C32_ROSE PALE_NM20-32-02_S2022</v>
      </c>
    </row>
    <row r="563" spans="1:23" ht="19.7" customHeight="1" thickBot="1" x14ac:dyDescent="0.3">
      <c r="A563" s="68"/>
      <c r="B563" s="71"/>
      <c r="C563" s="71"/>
      <c r="D563" s="74"/>
      <c r="E563" s="76"/>
      <c r="F563" s="78"/>
      <c r="G563" s="74"/>
      <c r="H563" s="76"/>
      <c r="I563" s="80"/>
      <c r="J563" s="11" t="str">
        <f>Matiere_premiere[[#This Row],[Entrepot]]</f>
        <v>E2</v>
      </c>
      <c r="K563" s="9" t="b">
        <f>IF(Matiere_premiere[[#This Row],[INVENTAIRE]]&gt;0,TRUE,FALSE)</f>
        <v>0</v>
      </c>
      <c r="L563" s="65"/>
      <c r="M563" s="8" t="s">
        <v>82</v>
      </c>
      <c r="N563" s="8" t="s">
        <v>110</v>
      </c>
      <c r="O563" s="8" t="s">
        <v>109</v>
      </c>
      <c r="P563" s="8" t="s">
        <v>108</v>
      </c>
      <c r="Q563" s="53" t="s">
        <v>107</v>
      </c>
      <c r="R563" s="8" t="s">
        <v>74</v>
      </c>
      <c r="S563" s="7">
        <v>0</v>
      </c>
      <c r="T563" s="7"/>
      <c r="U563" s="7"/>
      <c r="V563" s="7">
        <f>SUM(Matiere_premiere[[#This Row],[INVENTAIRE]],-Matiere_premiere[[#This Row],[Entrée]],-Matiere_premiere[[#This Row],[Sortis]])</f>
        <v>0</v>
      </c>
      <c r="W563" s="50" t="str">
        <f>CONCATENATE(Matiere_premiere[[#This Row],[CODE COLEUR]],"_",Matiere_premiere[[#This Row],[COULEUR]],"_",Matiere_premiere[[#This Row],[CODE FAB]],"_",Matiere_premiere[[#This Row],[Num de Lot]])</f>
        <v>C32_ROSE PALE_NM20-32-02_S2022</v>
      </c>
    </row>
    <row r="564" spans="1:23" ht="19.7" customHeight="1" thickBot="1" x14ac:dyDescent="0.3">
      <c r="A564" s="68"/>
      <c r="B564" s="71"/>
      <c r="C564" s="71"/>
      <c r="D564" s="74"/>
      <c r="E564" s="76"/>
      <c r="F564" s="78"/>
      <c r="G564" s="74"/>
      <c r="H564" s="76"/>
      <c r="I564" s="80"/>
      <c r="J564" s="11" t="str">
        <f>Matiere_premiere[[#This Row],[Entrepot]]</f>
        <v>E3</v>
      </c>
      <c r="K564" s="9" t="b">
        <f>IF(Matiere_premiere[[#This Row],[INVENTAIRE]]&gt;0,TRUE,FALSE)</f>
        <v>0</v>
      </c>
      <c r="L564" s="65"/>
      <c r="M564" s="8" t="s">
        <v>82</v>
      </c>
      <c r="N564" s="8" t="s">
        <v>110</v>
      </c>
      <c r="O564" s="8" t="s">
        <v>109</v>
      </c>
      <c r="P564" s="8" t="s">
        <v>108</v>
      </c>
      <c r="Q564" s="53" t="s">
        <v>107</v>
      </c>
      <c r="R564" s="8" t="s">
        <v>73</v>
      </c>
      <c r="S564" s="7">
        <v>0</v>
      </c>
      <c r="T564" s="7"/>
      <c r="U564" s="7"/>
      <c r="V564" s="7">
        <f>SUM(Matiere_premiere[[#This Row],[INVENTAIRE]],-Matiere_premiere[[#This Row],[Entrée]],-Matiere_premiere[[#This Row],[Sortis]])</f>
        <v>0</v>
      </c>
      <c r="W564" s="50" t="str">
        <f>CONCATENATE(Matiere_premiere[[#This Row],[CODE COLEUR]],"_",Matiere_premiere[[#This Row],[COULEUR]],"_",Matiere_premiere[[#This Row],[CODE FAB]],"_",Matiere_premiere[[#This Row],[Num de Lot]])</f>
        <v>C32_ROSE PALE_NM20-32-02_S2022</v>
      </c>
    </row>
    <row r="565" spans="1:23" ht="19.7" customHeight="1" thickBot="1" x14ac:dyDescent="0.3">
      <c r="A565" s="69"/>
      <c r="B565" s="72"/>
      <c r="C565" s="72"/>
      <c r="D565" s="75"/>
      <c r="E565" s="77"/>
      <c r="F565" s="79"/>
      <c r="G565" s="75"/>
      <c r="H565" s="77"/>
      <c r="I565" s="81"/>
      <c r="J565" s="10" t="str">
        <f>Matiere_premiere[[#This Row],[Entrepot]]</f>
        <v>Usine</v>
      </c>
      <c r="K565" s="9" t="b">
        <f>IF(Matiere_premiere[[#This Row],[INVENTAIRE]]&gt;0,TRUE,FALSE)</f>
        <v>0</v>
      </c>
      <c r="L565" s="66"/>
      <c r="M565" s="8" t="s">
        <v>82</v>
      </c>
      <c r="N565" s="8" t="s">
        <v>110</v>
      </c>
      <c r="O565" s="8" t="s">
        <v>109</v>
      </c>
      <c r="P565" s="8" t="s">
        <v>108</v>
      </c>
      <c r="Q565" s="53" t="s">
        <v>107</v>
      </c>
      <c r="R565" s="8" t="s">
        <v>68</v>
      </c>
      <c r="S565" s="7">
        <v>0</v>
      </c>
      <c r="T565" s="7"/>
      <c r="U565" s="7"/>
      <c r="V565" s="7">
        <f>SUM(Matiere_premiere[[#This Row],[INVENTAIRE]],-Matiere_premiere[[#This Row],[Entrée]],-Matiere_premiere[[#This Row],[Sortis]])</f>
        <v>0</v>
      </c>
      <c r="W565" s="50" t="str">
        <f>CONCATENATE(Matiere_premiere[[#This Row],[CODE COLEUR]],"_",Matiere_premiere[[#This Row],[COULEUR]],"_",Matiere_premiere[[#This Row],[CODE FAB]],"_",Matiere_premiere[[#This Row],[Num de Lot]])</f>
        <v>C32_ROSE PALE_NM20-32-02_S2022</v>
      </c>
    </row>
    <row r="566" spans="1:23" ht="19.7" customHeight="1" thickTop="1" thickBot="1" x14ac:dyDescent="0.3">
      <c r="A566" s="67" t="str">
        <f>Matiere_premiere[[#This Row],[NUMERO METRIQUE]]</f>
        <v>NM15</v>
      </c>
      <c r="B566" s="70" t="str">
        <f>Matiere_premiere[[#This Row],[COULEUR]]</f>
        <v>LILA</v>
      </c>
      <c r="C566" s="70" t="str">
        <f>Matiere_premiere[[#This Row],[CODE COLEUR]]</f>
        <v>C33</v>
      </c>
      <c r="D566" s="73" t="str">
        <f>Matiere_premiere[[#This Row],[CODE FAB]]</f>
        <v>NM15-33.00</v>
      </c>
      <c r="E566" s="76" t="e" vm="206">
        <f>_xlfn.IMAGE("https://api.qrserver.com/v1/create-qr-code/?size=100x100&amp;data=" &amp; D566)</f>
        <v>#VALUE!</v>
      </c>
      <c r="F566" s="78"/>
      <c r="G566" s="73" t="str">
        <f>Matiere_premiere[[#This Row],[Num de Lot]]</f>
        <v>S2023</v>
      </c>
      <c r="H566" s="76" t="e" vm="2">
        <f>_xlfn.IMAGE("https://api.qrserver.com/v1/create-qr-code/?size=100x100&amp;data=" &amp; G566)</f>
        <v>#VALUE!</v>
      </c>
      <c r="I566" s="80"/>
      <c r="J566" s="12" t="str">
        <f>Matiere_premiere[[#This Row],[Entrepot]]</f>
        <v>E1</v>
      </c>
      <c r="K566" s="9" t="b">
        <f>IF(Matiere_premiere[[#This Row],[INVENTAIRE]]&gt;0,TRUE,FALSE)</f>
        <v>0</v>
      </c>
      <c r="L566" s="65"/>
      <c r="M566" s="13" t="s">
        <v>103</v>
      </c>
      <c r="N566" s="13" t="s">
        <v>106</v>
      </c>
      <c r="O566" s="13" t="s">
        <v>105</v>
      </c>
      <c r="P566" s="13" t="s">
        <v>104</v>
      </c>
      <c r="Q566" s="55" t="s">
        <v>69</v>
      </c>
      <c r="R566" s="13" t="s">
        <v>75</v>
      </c>
      <c r="S566" s="14">
        <v>0</v>
      </c>
      <c r="T566" s="14"/>
      <c r="U566" s="14"/>
      <c r="V566" s="14">
        <f>SUM(Matiere_premiere[[#This Row],[INVENTAIRE]],-Matiere_premiere[[#This Row],[Entrée]],-Matiere_premiere[[#This Row],[Sortis]])</f>
        <v>0</v>
      </c>
      <c r="W566" s="50" t="str">
        <f>CONCATENATE(Matiere_premiere[[#This Row],[CODE COLEUR]],"_",Matiere_premiere[[#This Row],[COULEUR]],"_",Matiere_premiere[[#This Row],[CODE FAB]],"_",Matiere_premiere[[#This Row],[Num de Lot]])</f>
        <v>C33_LILA_NM15-33.00_S2023</v>
      </c>
    </row>
    <row r="567" spans="1:23" ht="19.7" customHeight="1" thickBot="1" x14ac:dyDescent="0.3">
      <c r="A567" s="68"/>
      <c r="B567" s="71"/>
      <c r="C567" s="71"/>
      <c r="D567" s="74"/>
      <c r="E567" s="76"/>
      <c r="F567" s="78"/>
      <c r="G567" s="74"/>
      <c r="H567" s="76"/>
      <c r="I567" s="80"/>
      <c r="J567" s="11" t="str">
        <f>Matiere_premiere[[#This Row],[Entrepot]]</f>
        <v>E2</v>
      </c>
      <c r="K567" s="9" t="b">
        <f>IF(Matiere_premiere[[#This Row],[INVENTAIRE]]&gt;0,TRUE,FALSE)</f>
        <v>0</v>
      </c>
      <c r="L567" s="65"/>
      <c r="M567" s="13" t="s">
        <v>103</v>
      </c>
      <c r="N567" s="13" t="s">
        <v>106</v>
      </c>
      <c r="O567" s="13" t="s">
        <v>105</v>
      </c>
      <c r="P567" s="13" t="s">
        <v>104</v>
      </c>
      <c r="Q567" s="55" t="s">
        <v>69</v>
      </c>
      <c r="R567" s="13" t="s">
        <v>74</v>
      </c>
      <c r="S567" s="14">
        <v>0</v>
      </c>
      <c r="T567" s="14"/>
      <c r="U567" s="14"/>
      <c r="V567" s="14">
        <f>SUM(Matiere_premiere[[#This Row],[INVENTAIRE]],-Matiere_premiere[[#This Row],[Entrée]],-Matiere_premiere[[#This Row],[Sortis]])</f>
        <v>0</v>
      </c>
      <c r="W567" s="50" t="str">
        <f>CONCATENATE(Matiere_premiere[[#This Row],[CODE COLEUR]],"_",Matiere_premiere[[#This Row],[COULEUR]],"_",Matiere_premiere[[#This Row],[CODE FAB]],"_",Matiere_premiere[[#This Row],[Num de Lot]])</f>
        <v>C33_LILA_NM15-33.00_S2023</v>
      </c>
    </row>
    <row r="568" spans="1:23" ht="19.7" customHeight="1" thickBot="1" x14ac:dyDescent="0.3">
      <c r="A568" s="68"/>
      <c r="B568" s="71"/>
      <c r="C568" s="71"/>
      <c r="D568" s="74"/>
      <c r="E568" s="76"/>
      <c r="F568" s="78"/>
      <c r="G568" s="74"/>
      <c r="H568" s="76"/>
      <c r="I568" s="80"/>
      <c r="J568" s="11" t="str">
        <f>Matiere_premiere[[#This Row],[Entrepot]]</f>
        <v>E3</v>
      </c>
      <c r="K568" s="9" t="b">
        <f>IF(Matiere_premiere[[#This Row],[INVENTAIRE]]&gt;0,TRUE,FALSE)</f>
        <v>0</v>
      </c>
      <c r="L568" s="65"/>
      <c r="M568" s="13" t="s">
        <v>103</v>
      </c>
      <c r="N568" s="13" t="s">
        <v>106</v>
      </c>
      <c r="O568" s="13" t="s">
        <v>105</v>
      </c>
      <c r="P568" s="13" t="s">
        <v>104</v>
      </c>
      <c r="Q568" s="55" t="s">
        <v>69</v>
      </c>
      <c r="R568" s="13" t="s">
        <v>73</v>
      </c>
      <c r="S568" s="14">
        <v>0</v>
      </c>
      <c r="T568" s="14"/>
      <c r="U568" s="14"/>
      <c r="V568" s="14">
        <f>SUM(Matiere_premiere[[#This Row],[INVENTAIRE]],-Matiere_premiere[[#This Row],[Entrée]],-Matiere_premiere[[#This Row],[Sortis]])</f>
        <v>0</v>
      </c>
      <c r="W568" s="50" t="str">
        <f>CONCATENATE(Matiere_premiere[[#This Row],[CODE COLEUR]],"_",Matiere_premiere[[#This Row],[COULEUR]],"_",Matiere_premiere[[#This Row],[CODE FAB]],"_",Matiere_premiere[[#This Row],[Num de Lot]])</f>
        <v>C33_LILA_NM15-33.00_S2023</v>
      </c>
    </row>
    <row r="569" spans="1:23" ht="19.7" customHeight="1" thickBot="1" x14ac:dyDescent="0.3">
      <c r="A569" s="69"/>
      <c r="B569" s="72"/>
      <c r="C569" s="72"/>
      <c r="D569" s="75"/>
      <c r="E569" s="77"/>
      <c r="F569" s="79"/>
      <c r="G569" s="75"/>
      <c r="H569" s="77"/>
      <c r="I569" s="81"/>
      <c r="J569" s="10" t="str">
        <f>Matiere_premiere[[#This Row],[Entrepot]]</f>
        <v>Usine</v>
      </c>
      <c r="K569" s="9" t="b">
        <f>IF(Matiere_premiere[[#This Row],[INVENTAIRE]]&gt;0,TRUE,FALSE)</f>
        <v>1</v>
      </c>
      <c r="L569" s="66"/>
      <c r="M569" s="13" t="s">
        <v>103</v>
      </c>
      <c r="N569" s="13" t="s">
        <v>106</v>
      </c>
      <c r="O569" s="13" t="s">
        <v>105</v>
      </c>
      <c r="P569" s="13" t="s">
        <v>104</v>
      </c>
      <c r="Q569" s="55" t="s">
        <v>69</v>
      </c>
      <c r="R569" s="13" t="s">
        <v>68</v>
      </c>
      <c r="S569" s="14">
        <v>22</v>
      </c>
      <c r="T569" s="14"/>
      <c r="U569" s="14"/>
      <c r="V569" s="14">
        <f>SUM(Matiere_premiere[[#This Row],[INVENTAIRE]],-Matiere_premiere[[#This Row],[Entrée]],-Matiere_premiere[[#This Row],[Sortis]])</f>
        <v>22</v>
      </c>
      <c r="W569" s="50" t="str">
        <f>CONCATENATE(Matiere_premiere[[#This Row],[CODE COLEUR]],"_",Matiere_premiere[[#This Row],[COULEUR]],"_",Matiere_premiere[[#This Row],[CODE FAB]],"_",Matiere_premiere[[#This Row],[Num de Lot]])</f>
        <v>C33_LILA_NM15-33.00_S2023</v>
      </c>
    </row>
    <row r="570" spans="1:23" ht="19.7" customHeight="1" thickTop="1" thickBot="1" x14ac:dyDescent="0.3">
      <c r="A570" s="67" t="str">
        <f>Matiere_premiere[[#This Row],[NUMERO METRIQUE]]</f>
        <v>NM15</v>
      </c>
      <c r="B570" s="70" t="str">
        <f>Matiere_premiere[[#This Row],[COULEUR]]</f>
        <v>VIOLET</v>
      </c>
      <c r="C570" s="70" t="str">
        <f>Matiere_premiere[[#This Row],[CODE COLEUR]]</f>
        <v>C34</v>
      </c>
      <c r="D570" s="73" t="str">
        <f>Matiere_premiere[[#This Row],[CODE FAB]]</f>
        <v>NM15-34.00</v>
      </c>
      <c r="E570" s="76" t="e" vm="207">
        <f>_xlfn.IMAGE("https://api.qrserver.com/v1/create-qr-code/?size=100x100&amp;data=" &amp; D570)</f>
        <v>#VALUE!</v>
      </c>
      <c r="F570" s="78"/>
      <c r="G570" s="73">
        <f>Matiere_premiere[[#This Row],[Num de Lot]]</f>
        <v>65332</v>
      </c>
      <c r="H570" s="76" t="e" vm="208">
        <f>_xlfn.IMAGE("https://api.qrserver.com/v1/create-qr-code/?size=100x100&amp;data=" &amp; G570)</f>
        <v>#VALUE!</v>
      </c>
      <c r="I570" s="80"/>
      <c r="J570" s="12" t="str">
        <f>Matiere_premiere[[#This Row],[Entrepot]]</f>
        <v>E1</v>
      </c>
      <c r="K570" s="9" t="b">
        <f>IF(Matiere_premiere[[#This Row],[INVENTAIRE]]&gt;0,TRUE,FALSE)</f>
        <v>0</v>
      </c>
      <c r="L570" s="65"/>
      <c r="M570" s="15" t="s">
        <v>103</v>
      </c>
      <c r="N570" s="15" t="s">
        <v>102</v>
      </c>
      <c r="O570" s="15" t="s">
        <v>101</v>
      </c>
      <c r="P570" s="15" t="s">
        <v>100</v>
      </c>
      <c r="Q570" s="56">
        <v>65332</v>
      </c>
      <c r="R570" s="8" t="s">
        <v>75</v>
      </c>
      <c r="S570" s="7">
        <v>0</v>
      </c>
      <c r="T570" s="7"/>
      <c r="U570" s="7"/>
      <c r="V570" s="7">
        <f>SUM(Matiere_premiere[[#This Row],[INVENTAIRE]],-Matiere_premiere[[#This Row],[Entrée]],-Matiere_premiere[[#This Row],[Sortis]])</f>
        <v>0</v>
      </c>
      <c r="W570" s="50" t="str">
        <f>CONCATENATE(Matiere_premiere[[#This Row],[CODE COLEUR]],"_",Matiere_premiere[[#This Row],[COULEUR]],"_",Matiere_premiere[[#This Row],[CODE FAB]],"_",Matiere_premiere[[#This Row],[Num de Lot]])</f>
        <v>C34_VIOLET_NM15-34.00_65332</v>
      </c>
    </row>
    <row r="571" spans="1:23" ht="19.7" customHeight="1" thickBot="1" x14ac:dyDescent="0.3">
      <c r="A571" s="68"/>
      <c r="B571" s="71"/>
      <c r="C571" s="71"/>
      <c r="D571" s="74"/>
      <c r="E571" s="76"/>
      <c r="F571" s="78"/>
      <c r="G571" s="74"/>
      <c r="H571" s="76"/>
      <c r="I571" s="80"/>
      <c r="J571" s="11" t="str">
        <f>Matiere_premiere[[#This Row],[Entrepot]]</f>
        <v>E2</v>
      </c>
      <c r="K571" s="9" t="b">
        <f>IF(Matiere_premiere[[#This Row],[INVENTAIRE]]&gt;0,TRUE,FALSE)</f>
        <v>0</v>
      </c>
      <c r="L571" s="65"/>
      <c r="M571" s="15" t="s">
        <v>103</v>
      </c>
      <c r="N571" s="15" t="s">
        <v>102</v>
      </c>
      <c r="O571" s="15" t="s">
        <v>101</v>
      </c>
      <c r="P571" s="15" t="s">
        <v>100</v>
      </c>
      <c r="Q571" s="56">
        <v>65332</v>
      </c>
      <c r="R571" s="8" t="s">
        <v>74</v>
      </c>
      <c r="S571" s="7">
        <v>0</v>
      </c>
      <c r="T571" s="7"/>
      <c r="U571" s="7"/>
      <c r="V571" s="7">
        <f>SUM(Matiere_premiere[[#This Row],[INVENTAIRE]],-Matiere_premiere[[#This Row],[Entrée]],-Matiere_premiere[[#This Row],[Sortis]])</f>
        <v>0</v>
      </c>
      <c r="W571" s="50" t="str">
        <f>CONCATENATE(Matiere_premiere[[#This Row],[CODE COLEUR]],"_",Matiere_premiere[[#This Row],[COULEUR]],"_",Matiere_premiere[[#This Row],[CODE FAB]],"_",Matiere_premiere[[#This Row],[Num de Lot]])</f>
        <v>C34_VIOLET_NM15-34.00_65332</v>
      </c>
    </row>
    <row r="572" spans="1:23" ht="19.7" customHeight="1" thickBot="1" x14ac:dyDescent="0.3">
      <c r="A572" s="68"/>
      <c r="B572" s="71"/>
      <c r="C572" s="71"/>
      <c r="D572" s="74"/>
      <c r="E572" s="76"/>
      <c r="F572" s="78"/>
      <c r="G572" s="74"/>
      <c r="H572" s="76"/>
      <c r="I572" s="80"/>
      <c r="J572" s="11" t="str">
        <f>Matiere_premiere[[#This Row],[Entrepot]]</f>
        <v>E3</v>
      </c>
      <c r="K572" s="9" t="b">
        <f>IF(Matiere_premiere[[#This Row],[INVENTAIRE]]&gt;0,TRUE,FALSE)</f>
        <v>0</v>
      </c>
      <c r="L572" s="65"/>
      <c r="M572" s="15" t="s">
        <v>103</v>
      </c>
      <c r="N572" s="15" t="s">
        <v>102</v>
      </c>
      <c r="O572" s="15" t="s">
        <v>101</v>
      </c>
      <c r="P572" s="15" t="s">
        <v>100</v>
      </c>
      <c r="Q572" s="56">
        <v>65332</v>
      </c>
      <c r="R572" s="8" t="s">
        <v>73</v>
      </c>
      <c r="S572" s="7">
        <v>0</v>
      </c>
      <c r="T572" s="7"/>
      <c r="U572" s="7"/>
      <c r="V572" s="7">
        <f>SUM(Matiere_premiere[[#This Row],[INVENTAIRE]],-Matiere_premiere[[#This Row],[Entrée]],-Matiere_premiere[[#This Row],[Sortis]])</f>
        <v>0</v>
      </c>
      <c r="W572" s="50" t="str">
        <f>CONCATENATE(Matiere_premiere[[#This Row],[CODE COLEUR]],"_",Matiere_premiere[[#This Row],[COULEUR]],"_",Matiere_premiere[[#This Row],[CODE FAB]],"_",Matiere_premiere[[#This Row],[Num de Lot]])</f>
        <v>C34_VIOLET_NM15-34.00_65332</v>
      </c>
    </row>
    <row r="573" spans="1:23" ht="19.7" customHeight="1" thickBot="1" x14ac:dyDescent="0.3">
      <c r="A573" s="69"/>
      <c r="B573" s="72"/>
      <c r="C573" s="72"/>
      <c r="D573" s="75"/>
      <c r="E573" s="77"/>
      <c r="F573" s="79"/>
      <c r="G573" s="75"/>
      <c r="H573" s="77"/>
      <c r="I573" s="81"/>
      <c r="J573" s="10" t="str">
        <f>Matiere_premiere[[#This Row],[Entrepot]]</f>
        <v>Usine</v>
      </c>
      <c r="K573" s="9" t="b">
        <f>IF(Matiere_premiere[[#This Row],[INVENTAIRE]]&gt;0,TRUE,FALSE)</f>
        <v>0</v>
      </c>
      <c r="L573" s="66"/>
      <c r="M573" s="8" t="s">
        <v>103</v>
      </c>
      <c r="N573" s="8" t="s">
        <v>102</v>
      </c>
      <c r="O573" s="8" t="s">
        <v>101</v>
      </c>
      <c r="P573" s="8" t="s">
        <v>100</v>
      </c>
      <c r="Q573" s="53">
        <v>65332</v>
      </c>
      <c r="R573" s="8" t="s">
        <v>68</v>
      </c>
      <c r="S573" s="7">
        <v>0</v>
      </c>
      <c r="T573" s="7"/>
      <c r="U573" s="7"/>
      <c r="V573" s="7">
        <f>SUM(Matiere_premiere[[#This Row],[INVENTAIRE]],-Matiere_premiere[[#This Row],[Entrée]],-Matiere_premiere[[#This Row],[Sortis]])</f>
        <v>0</v>
      </c>
      <c r="W573" s="50" t="str">
        <f>CONCATENATE(Matiere_premiere[[#This Row],[CODE COLEUR]],"_",Matiere_premiere[[#This Row],[COULEUR]],"_",Matiere_premiere[[#This Row],[CODE FAB]],"_",Matiere_premiere[[#This Row],[Num de Lot]])</f>
        <v>C34_VIOLET_NM15-34.00_65332</v>
      </c>
    </row>
    <row r="574" spans="1:23" ht="19.7" customHeight="1" thickTop="1" thickBot="1" x14ac:dyDescent="0.3">
      <c r="A574" s="67" t="str">
        <f>Matiere_premiere[[#This Row],[NUMERO METRIQUE]]</f>
        <v>NM15</v>
      </c>
      <c r="B574" s="70" t="str">
        <f>Matiere_premiere[[#This Row],[COULEUR]]</f>
        <v>VIOLET</v>
      </c>
      <c r="C574" s="70" t="str">
        <f>Matiere_premiere[[#This Row],[CODE COLEUR]]</f>
        <v>C34</v>
      </c>
      <c r="D574" s="73" t="str">
        <f>Matiere_premiere[[#This Row],[CODE FAB]]</f>
        <v>NM15-34.00</v>
      </c>
      <c r="E574" s="76" t="e" vm="207">
        <f>_xlfn.IMAGE("https://api.qrserver.com/v1/create-qr-code/?size=100x100&amp;data=" &amp; D574)</f>
        <v>#VALUE!</v>
      </c>
      <c r="F574" s="78"/>
      <c r="G574" s="73" t="str">
        <f>Matiere_premiere[[#This Row],[Num de Lot]]</f>
        <v>S2023</v>
      </c>
      <c r="H574" s="76" t="e" vm="2">
        <f>_xlfn.IMAGE("https://api.qrserver.com/v1/create-qr-code/?size=100x100&amp;data=" &amp; G574)</f>
        <v>#VALUE!</v>
      </c>
      <c r="I574" s="80"/>
      <c r="J574" s="12" t="str">
        <f>Matiere_premiere[[#This Row],[Entrepot]]</f>
        <v>E1</v>
      </c>
      <c r="K574" s="9" t="b">
        <f>IF(Matiere_premiere[[#This Row],[INVENTAIRE]]&gt;0,TRUE,FALSE)</f>
        <v>0</v>
      </c>
      <c r="L574" s="65"/>
      <c r="M574" s="13" t="s">
        <v>103</v>
      </c>
      <c r="N574" s="13" t="s">
        <v>102</v>
      </c>
      <c r="O574" s="13" t="s">
        <v>101</v>
      </c>
      <c r="P574" s="13" t="s">
        <v>100</v>
      </c>
      <c r="Q574" s="55" t="s">
        <v>69</v>
      </c>
      <c r="R574" s="13" t="s">
        <v>75</v>
      </c>
      <c r="S574" s="14">
        <v>0</v>
      </c>
      <c r="T574" s="14"/>
      <c r="U574" s="14"/>
      <c r="V574" s="14">
        <f>SUM(Matiere_premiere[[#This Row],[INVENTAIRE]],-Matiere_premiere[[#This Row],[Entrée]],-Matiere_premiere[[#This Row],[Sortis]])</f>
        <v>0</v>
      </c>
      <c r="W574" s="50" t="str">
        <f>CONCATENATE(Matiere_premiere[[#This Row],[CODE COLEUR]],"_",Matiere_premiere[[#This Row],[COULEUR]],"_",Matiere_premiere[[#This Row],[CODE FAB]],"_",Matiere_premiere[[#This Row],[Num de Lot]])</f>
        <v>C34_VIOLET_NM15-34.00_S2023</v>
      </c>
    </row>
    <row r="575" spans="1:23" ht="19.7" customHeight="1" thickBot="1" x14ac:dyDescent="0.3">
      <c r="A575" s="68"/>
      <c r="B575" s="71"/>
      <c r="C575" s="71"/>
      <c r="D575" s="74"/>
      <c r="E575" s="76"/>
      <c r="F575" s="78"/>
      <c r="G575" s="74"/>
      <c r="H575" s="76"/>
      <c r="I575" s="80"/>
      <c r="J575" s="11" t="str">
        <f>Matiere_premiere[[#This Row],[Entrepot]]</f>
        <v>E2</v>
      </c>
      <c r="K575" s="9" t="b">
        <f>IF(Matiere_premiere[[#This Row],[INVENTAIRE]]&gt;0,TRUE,FALSE)</f>
        <v>0</v>
      </c>
      <c r="L575" s="65"/>
      <c r="M575" s="13" t="s">
        <v>103</v>
      </c>
      <c r="N575" s="13" t="s">
        <v>102</v>
      </c>
      <c r="O575" s="13" t="s">
        <v>101</v>
      </c>
      <c r="P575" s="13" t="s">
        <v>100</v>
      </c>
      <c r="Q575" s="55" t="s">
        <v>69</v>
      </c>
      <c r="R575" s="13" t="s">
        <v>74</v>
      </c>
      <c r="S575" s="14">
        <v>0</v>
      </c>
      <c r="T575" s="14"/>
      <c r="U575" s="14"/>
      <c r="V575" s="14">
        <f>SUM(Matiere_premiere[[#This Row],[INVENTAIRE]],-Matiere_premiere[[#This Row],[Entrée]],-Matiere_premiere[[#This Row],[Sortis]])</f>
        <v>0</v>
      </c>
      <c r="W575" s="50" t="str">
        <f>CONCATENATE(Matiere_premiere[[#This Row],[CODE COLEUR]],"_",Matiere_premiere[[#This Row],[COULEUR]],"_",Matiere_premiere[[#This Row],[CODE FAB]],"_",Matiere_premiere[[#This Row],[Num de Lot]])</f>
        <v>C34_VIOLET_NM15-34.00_S2023</v>
      </c>
    </row>
    <row r="576" spans="1:23" ht="19.7" customHeight="1" thickBot="1" x14ac:dyDescent="0.3">
      <c r="A576" s="68"/>
      <c r="B576" s="71"/>
      <c r="C576" s="71"/>
      <c r="D576" s="74"/>
      <c r="E576" s="76"/>
      <c r="F576" s="78"/>
      <c r="G576" s="74"/>
      <c r="H576" s="76"/>
      <c r="I576" s="80"/>
      <c r="J576" s="11" t="str">
        <f>Matiere_premiere[[#This Row],[Entrepot]]</f>
        <v>E3</v>
      </c>
      <c r="K576" s="9" t="b">
        <f>IF(Matiere_premiere[[#This Row],[INVENTAIRE]]&gt;0,TRUE,FALSE)</f>
        <v>1</v>
      </c>
      <c r="L576" s="65"/>
      <c r="M576" s="13" t="s">
        <v>103</v>
      </c>
      <c r="N576" s="13" t="s">
        <v>102</v>
      </c>
      <c r="O576" s="13" t="s">
        <v>101</v>
      </c>
      <c r="P576" s="13" t="s">
        <v>100</v>
      </c>
      <c r="Q576" s="55" t="s">
        <v>69</v>
      </c>
      <c r="R576" s="13" t="s">
        <v>73</v>
      </c>
      <c r="S576" s="14">
        <v>539</v>
      </c>
      <c r="T576" s="14"/>
      <c r="U576" s="14"/>
      <c r="V576" s="14">
        <f>SUM(Matiere_premiere[[#This Row],[INVENTAIRE]],-Matiere_premiere[[#This Row],[Entrée]],-Matiere_premiere[[#This Row],[Sortis]])</f>
        <v>539</v>
      </c>
      <c r="W576" s="50" t="str">
        <f>CONCATENATE(Matiere_premiere[[#This Row],[CODE COLEUR]],"_",Matiere_premiere[[#This Row],[COULEUR]],"_",Matiere_premiere[[#This Row],[CODE FAB]],"_",Matiere_premiere[[#This Row],[Num de Lot]])</f>
        <v>C34_VIOLET_NM15-34.00_S2023</v>
      </c>
    </row>
    <row r="577" spans="1:23" ht="19.7" customHeight="1" thickBot="1" x14ac:dyDescent="0.3">
      <c r="A577" s="69"/>
      <c r="B577" s="72"/>
      <c r="C577" s="72"/>
      <c r="D577" s="75"/>
      <c r="E577" s="77"/>
      <c r="F577" s="79"/>
      <c r="G577" s="75"/>
      <c r="H577" s="77"/>
      <c r="I577" s="81"/>
      <c r="J577" s="10" t="str">
        <f>Matiere_premiere[[#This Row],[Entrepot]]</f>
        <v>Usine</v>
      </c>
      <c r="K577" s="9" t="b">
        <f>IF(Matiere_premiere[[#This Row],[INVENTAIRE]]&gt;0,TRUE,FALSE)</f>
        <v>1</v>
      </c>
      <c r="L577" s="66"/>
      <c r="M577" s="13" t="s">
        <v>103</v>
      </c>
      <c r="N577" s="13" t="s">
        <v>102</v>
      </c>
      <c r="O577" s="13" t="s">
        <v>101</v>
      </c>
      <c r="P577" s="13" t="s">
        <v>100</v>
      </c>
      <c r="Q577" s="55" t="s">
        <v>69</v>
      </c>
      <c r="R577" s="13" t="s">
        <v>68</v>
      </c>
      <c r="S577" s="14">
        <v>273</v>
      </c>
      <c r="T577" s="14"/>
      <c r="U577" s="14"/>
      <c r="V577" s="14">
        <f>SUM(Matiere_premiere[[#This Row],[INVENTAIRE]],-Matiere_premiere[[#This Row],[Entrée]],-Matiere_premiere[[#This Row],[Sortis]])</f>
        <v>273</v>
      </c>
      <c r="W577" s="50" t="str">
        <f>CONCATENATE(Matiere_premiere[[#This Row],[CODE COLEUR]],"_",Matiere_premiere[[#This Row],[COULEUR]],"_",Matiere_premiere[[#This Row],[CODE FAB]],"_",Matiere_premiere[[#This Row],[Num de Lot]])</f>
        <v>C34_VIOLET_NM15-34.00_S2023</v>
      </c>
    </row>
    <row r="578" spans="1:23" ht="19.7" customHeight="1" thickTop="1" thickBot="1" x14ac:dyDescent="0.3">
      <c r="A578" s="67" t="str">
        <f>Matiere_premiere[[#This Row],[NUMERO METRIQUE]]</f>
        <v>NM2/40</v>
      </c>
      <c r="B578" s="70" t="str">
        <f>Matiere_premiere[[#This Row],[COULEUR]]</f>
        <v>Ecru</v>
      </c>
      <c r="C578" s="70" t="str">
        <f>Matiere_premiere[[#This Row],[CODE COLEUR]]</f>
        <v>CH</v>
      </c>
      <c r="D578" s="73" t="str">
        <f>Matiere_premiere[[#This Row],[CODE FAB]]</f>
        <v>CH2/40CE</v>
      </c>
      <c r="E578" s="76" t="e" vm="209">
        <f>_xlfn.IMAGE("https://api.qrserver.com/v1/create-qr-code/?size=100x100&amp;data=" &amp; D578)</f>
        <v>#VALUE!</v>
      </c>
      <c r="F578" s="78"/>
      <c r="G578" s="73" t="str">
        <f>Matiere_premiere[[#This Row],[Num de Lot]]</f>
        <v>A220324523/2</v>
      </c>
      <c r="H578" s="76" t="e" vm="210">
        <f>_xlfn.IMAGE("https://api.qrserver.com/v1/create-qr-code/?size=100x100&amp;data=" &amp; G578)</f>
        <v>#VALUE!</v>
      </c>
      <c r="I578" s="80"/>
      <c r="J578" s="12" t="str">
        <f>Matiere_premiere[[#This Row],[Entrepot]]</f>
        <v>E1</v>
      </c>
      <c r="K578" s="9" t="b">
        <f>IF(Matiere_premiere[[#This Row],[INVENTAIRE]]&gt;0,TRUE,FALSE)</f>
        <v>0</v>
      </c>
      <c r="L578" s="65"/>
      <c r="M578" s="8" t="s">
        <v>99</v>
      </c>
      <c r="N578" s="8" t="s">
        <v>96</v>
      </c>
      <c r="O578" s="8" t="s">
        <v>91</v>
      </c>
      <c r="P578" s="8" t="s">
        <v>98</v>
      </c>
      <c r="Q578" s="53" t="s">
        <v>97</v>
      </c>
      <c r="R578" s="8" t="s">
        <v>75</v>
      </c>
      <c r="S578" s="7">
        <v>0</v>
      </c>
      <c r="T578" s="7"/>
      <c r="U578" s="7"/>
      <c r="V578" s="7">
        <f>SUM(Matiere_premiere[[#This Row],[INVENTAIRE]],-Matiere_premiere[[#This Row],[Entrée]],-Matiere_premiere[[#This Row],[Sortis]])</f>
        <v>0</v>
      </c>
      <c r="W578" s="50" t="str">
        <f>CONCATENATE(Matiere_premiere[[#This Row],[CODE COLEUR]],"_",Matiere_premiere[[#This Row],[COULEUR]],"_",Matiere_premiere[[#This Row],[CODE FAB]],"_",Matiere_premiere[[#This Row],[Num de Lot]])</f>
        <v>CH_Ecru_CH2/40CE_A220324523/2</v>
      </c>
    </row>
    <row r="579" spans="1:23" ht="19.7" customHeight="1" thickBot="1" x14ac:dyDescent="0.3">
      <c r="A579" s="68"/>
      <c r="B579" s="71"/>
      <c r="C579" s="71"/>
      <c r="D579" s="74"/>
      <c r="E579" s="76"/>
      <c r="F579" s="78"/>
      <c r="G579" s="74"/>
      <c r="H579" s="76"/>
      <c r="I579" s="80"/>
      <c r="J579" s="11" t="str">
        <f>Matiere_premiere[[#This Row],[Entrepot]]</f>
        <v>E2</v>
      </c>
      <c r="K579" s="9" t="b">
        <f>IF(Matiere_premiere[[#This Row],[INVENTAIRE]]&gt;0,TRUE,FALSE)</f>
        <v>0</v>
      </c>
      <c r="L579" s="65"/>
      <c r="M579" s="8" t="s">
        <v>99</v>
      </c>
      <c r="N579" s="8" t="s">
        <v>96</v>
      </c>
      <c r="O579" s="8" t="s">
        <v>91</v>
      </c>
      <c r="P579" s="8" t="s">
        <v>98</v>
      </c>
      <c r="Q579" s="53" t="s">
        <v>97</v>
      </c>
      <c r="R579" s="8" t="s">
        <v>74</v>
      </c>
      <c r="S579" s="7">
        <v>0</v>
      </c>
      <c r="T579" s="7"/>
      <c r="U579" s="7"/>
      <c r="V579" s="7">
        <f>SUM(Matiere_premiere[[#This Row],[INVENTAIRE]],-Matiere_premiere[[#This Row],[Entrée]],-Matiere_premiere[[#This Row],[Sortis]])</f>
        <v>0</v>
      </c>
      <c r="W579" s="50" t="str">
        <f>CONCATENATE(Matiere_premiere[[#This Row],[CODE COLEUR]],"_",Matiere_premiere[[#This Row],[COULEUR]],"_",Matiere_premiere[[#This Row],[CODE FAB]],"_",Matiere_premiere[[#This Row],[Num de Lot]])</f>
        <v>CH_Ecru_CH2/40CE_A220324523/2</v>
      </c>
    </row>
    <row r="580" spans="1:23" ht="19.7" customHeight="1" thickBot="1" x14ac:dyDescent="0.3">
      <c r="A580" s="68"/>
      <c r="B580" s="71"/>
      <c r="C580" s="71"/>
      <c r="D580" s="74"/>
      <c r="E580" s="76"/>
      <c r="F580" s="78"/>
      <c r="G580" s="74"/>
      <c r="H580" s="76"/>
      <c r="I580" s="80"/>
      <c r="J580" s="11" t="str">
        <f>Matiere_premiere[[#This Row],[Entrepot]]</f>
        <v>E3</v>
      </c>
      <c r="K580" s="9" t="b">
        <f>IF(Matiere_premiere[[#This Row],[INVENTAIRE]]&gt;0,TRUE,FALSE)</f>
        <v>1</v>
      </c>
      <c r="L580" s="65"/>
      <c r="M580" s="8" t="s">
        <v>99</v>
      </c>
      <c r="N580" s="8" t="s">
        <v>96</v>
      </c>
      <c r="O580" s="8" t="s">
        <v>91</v>
      </c>
      <c r="P580" s="8" t="s">
        <v>98</v>
      </c>
      <c r="Q580" s="53" t="s">
        <v>97</v>
      </c>
      <c r="R580" s="8" t="s">
        <v>73</v>
      </c>
      <c r="S580" s="7">
        <v>4530.6000000000004</v>
      </c>
      <c r="T580" s="7"/>
      <c r="U580" s="7"/>
      <c r="V580" s="7">
        <f>SUM(Matiere_premiere[[#This Row],[INVENTAIRE]],-Matiere_premiere[[#This Row],[Entrée]],-Matiere_premiere[[#This Row],[Sortis]])</f>
        <v>4530.6000000000004</v>
      </c>
      <c r="W580" s="50" t="str">
        <f>CONCATENATE(Matiere_premiere[[#This Row],[CODE COLEUR]],"_",Matiere_premiere[[#This Row],[COULEUR]],"_",Matiere_premiere[[#This Row],[CODE FAB]],"_",Matiere_premiere[[#This Row],[Num de Lot]])</f>
        <v>CH_Ecru_CH2/40CE_A220324523/2</v>
      </c>
    </row>
    <row r="581" spans="1:23" ht="19.7" customHeight="1" thickBot="1" x14ac:dyDescent="0.3">
      <c r="A581" s="69"/>
      <c r="B581" s="72"/>
      <c r="C581" s="72"/>
      <c r="D581" s="75"/>
      <c r="E581" s="77"/>
      <c r="F581" s="79"/>
      <c r="G581" s="75"/>
      <c r="H581" s="77"/>
      <c r="I581" s="81"/>
      <c r="J581" s="10" t="str">
        <f>Matiere_premiere[[#This Row],[Entrepot]]</f>
        <v>Usine</v>
      </c>
      <c r="K581" s="9" t="b">
        <f>IF(Matiere_premiere[[#This Row],[INVENTAIRE]]&gt;0,TRUE,FALSE)</f>
        <v>0</v>
      </c>
      <c r="L581" s="66"/>
      <c r="M581" s="8" t="s">
        <v>99</v>
      </c>
      <c r="N581" s="8" t="s">
        <v>96</v>
      </c>
      <c r="O581" s="8" t="s">
        <v>91</v>
      </c>
      <c r="P581" s="8" t="s">
        <v>98</v>
      </c>
      <c r="Q581" s="53" t="s">
        <v>97</v>
      </c>
      <c r="R581" s="8" t="s">
        <v>68</v>
      </c>
      <c r="S581" s="7">
        <v>0</v>
      </c>
      <c r="T581" s="7"/>
      <c r="U581" s="7"/>
      <c r="V581" s="7">
        <f>SUM(Matiere_premiere[[#This Row],[INVENTAIRE]],-Matiere_premiere[[#This Row],[Entrée]],-Matiere_premiere[[#This Row],[Sortis]])</f>
        <v>0</v>
      </c>
      <c r="W581" s="50" t="str">
        <f>CONCATENATE(Matiere_premiere[[#This Row],[CODE COLEUR]],"_",Matiere_premiere[[#This Row],[COULEUR]],"_",Matiere_premiere[[#This Row],[CODE FAB]],"_",Matiere_premiere[[#This Row],[Num de Lot]])</f>
        <v>CH_Ecru_CH2/40CE_A220324523/2</v>
      </c>
    </row>
    <row r="582" spans="1:23" ht="19.7" customHeight="1" thickTop="1" thickBot="1" x14ac:dyDescent="0.3">
      <c r="A582" s="67" t="str">
        <f>Matiere_premiere[[#This Row],[NUMERO METRIQUE]]</f>
        <v>NM2/50</v>
      </c>
      <c r="B582" s="70" t="str">
        <f>Matiere_premiere[[#This Row],[COULEUR]]</f>
        <v>Ecru</v>
      </c>
      <c r="C582" s="70" t="str">
        <f>Matiere_premiere[[#This Row],[CODE COLEUR]]</f>
        <v>CH</v>
      </c>
      <c r="D582" s="73" t="str">
        <f>Matiere_premiere[[#This Row],[CODE FAB]]</f>
        <v>CH2/50CE</v>
      </c>
      <c r="E582" s="76" t="e" vm="211">
        <f>_xlfn.IMAGE("https://api.qrserver.com/v1/create-qr-code/?size=100x100&amp;data=" &amp; D582)</f>
        <v>#VALUE!</v>
      </c>
      <c r="F582" s="78"/>
      <c r="G582" s="73">
        <f>Matiere_premiere[[#This Row],[Num de Lot]]</f>
        <v>24580001</v>
      </c>
      <c r="H582" s="76" t="e" vm="212">
        <f>_xlfn.IMAGE("https://api.qrserver.com/v1/create-qr-code/?size=100x100&amp;data=" &amp; G582)</f>
        <v>#VALUE!</v>
      </c>
      <c r="I582" s="80"/>
      <c r="J582" s="12" t="str">
        <f>Matiere_premiere[[#This Row],[Entrepot]]</f>
        <v>E1</v>
      </c>
      <c r="K582" s="9" t="b">
        <f>IF(Matiere_premiere[[#This Row],[INVENTAIRE]]&gt;0,TRUE,FALSE)</f>
        <v>1</v>
      </c>
      <c r="L582" s="65"/>
      <c r="M582" s="13" t="s">
        <v>93</v>
      </c>
      <c r="N582" s="13" t="s">
        <v>96</v>
      </c>
      <c r="O582" s="13" t="s">
        <v>91</v>
      </c>
      <c r="P582" s="13" t="s">
        <v>95</v>
      </c>
      <c r="Q582" s="55">
        <v>24580001</v>
      </c>
      <c r="R582" s="13" t="s">
        <v>75</v>
      </c>
      <c r="S582" s="14">
        <v>544.32000000000005</v>
      </c>
      <c r="T582" s="14"/>
      <c r="U582" s="14"/>
      <c r="V582" s="14">
        <f>SUM(Matiere_premiere[[#This Row],[INVENTAIRE]],-Matiere_premiere[[#This Row],[Entrée]],-Matiere_premiere[[#This Row],[Sortis]])</f>
        <v>544.32000000000005</v>
      </c>
      <c r="W582" s="50" t="str">
        <f>CONCATENATE(Matiere_premiere[[#This Row],[CODE COLEUR]],"_",Matiere_premiere[[#This Row],[COULEUR]],"_",Matiere_premiere[[#This Row],[CODE FAB]],"_",Matiere_premiere[[#This Row],[Num de Lot]])</f>
        <v>CH_Ecru_CH2/50CE_24580001</v>
      </c>
    </row>
    <row r="583" spans="1:23" ht="19.7" customHeight="1" thickBot="1" x14ac:dyDescent="0.3">
      <c r="A583" s="68"/>
      <c r="B583" s="71"/>
      <c r="C583" s="71"/>
      <c r="D583" s="74"/>
      <c r="E583" s="76"/>
      <c r="F583" s="78"/>
      <c r="G583" s="74"/>
      <c r="H583" s="76"/>
      <c r="I583" s="80"/>
      <c r="J583" s="11" t="str">
        <f>Matiere_premiere[[#This Row],[Entrepot]]</f>
        <v>E2</v>
      </c>
      <c r="K583" s="9" t="b">
        <f>IF(Matiere_premiere[[#This Row],[INVENTAIRE]]&gt;0,TRUE,FALSE)</f>
        <v>0</v>
      </c>
      <c r="L583" s="65"/>
      <c r="M583" s="13" t="s">
        <v>93</v>
      </c>
      <c r="N583" s="13" t="s">
        <v>96</v>
      </c>
      <c r="O583" s="13" t="s">
        <v>91</v>
      </c>
      <c r="P583" s="13" t="s">
        <v>95</v>
      </c>
      <c r="Q583" s="55">
        <v>24580001</v>
      </c>
      <c r="R583" s="13" t="s">
        <v>74</v>
      </c>
      <c r="S583" s="14">
        <v>0</v>
      </c>
      <c r="T583" s="14"/>
      <c r="U583" s="14"/>
      <c r="V583" s="14">
        <f>SUM(Matiere_premiere[[#This Row],[INVENTAIRE]],-Matiere_premiere[[#This Row],[Entrée]],-Matiere_premiere[[#This Row],[Sortis]])</f>
        <v>0</v>
      </c>
      <c r="W583" s="50" t="str">
        <f>CONCATENATE(Matiere_premiere[[#This Row],[CODE COLEUR]],"_",Matiere_premiere[[#This Row],[COULEUR]],"_",Matiere_premiere[[#This Row],[CODE FAB]],"_",Matiere_premiere[[#This Row],[Num de Lot]])</f>
        <v>CH_Ecru_CH2/50CE_24580001</v>
      </c>
    </row>
    <row r="584" spans="1:23" ht="19.7" customHeight="1" thickBot="1" x14ac:dyDescent="0.3">
      <c r="A584" s="68"/>
      <c r="B584" s="71"/>
      <c r="C584" s="71"/>
      <c r="D584" s="74"/>
      <c r="E584" s="76"/>
      <c r="F584" s="78"/>
      <c r="G584" s="74"/>
      <c r="H584" s="76"/>
      <c r="I584" s="80"/>
      <c r="J584" s="11" t="str">
        <f>Matiere_premiere[[#This Row],[Entrepot]]</f>
        <v>E3</v>
      </c>
      <c r="K584" s="9" t="b">
        <f>IF(Matiere_premiere[[#This Row],[INVENTAIRE]]&gt;0,TRUE,FALSE)</f>
        <v>0</v>
      </c>
      <c r="L584" s="65"/>
      <c r="M584" s="13" t="s">
        <v>93</v>
      </c>
      <c r="N584" s="13" t="s">
        <v>96</v>
      </c>
      <c r="O584" s="13" t="s">
        <v>91</v>
      </c>
      <c r="P584" s="13" t="s">
        <v>95</v>
      </c>
      <c r="Q584" s="55">
        <v>24580001</v>
      </c>
      <c r="R584" s="13" t="s">
        <v>73</v>
      </c>
      <c r="S584" s="14">
        <v>0</v>
      </c>
      <c r="T584" s="14"/>
      <c r="U584" s="14"/>
      <c r="V584" s="14">
        <f>SUM(Matiere_premiere[[#This Row],[INVENTAIRE]],-Matiere_premiere[[#This Row],[Entrée]],-Matiere_premiere[[#This Row],[Sortis]])</f>
        <v>0</v>
      </c>
      <c r="W584" s="50" t="str">
        <f>CONCATENATE(Matiere_premiere[[#This Row],[CODE COLEUR]],"_",Matiere_premiere[[#This Row],[COULEUR]],"_",Matiere_premiere[[#This Row],[CODE FAB]],"_",Matiere_premiere[[#This Row],[Num de Lot]])</f>
        <v>CH_Ecru_CH2/50CE_24580001</v>
      </c>
    </row>
    <row r="585" spans="1:23" ht="19.7" customHeight="1" thickBot="1" x14ac:dyDescent="0.3">
      <c r="A585" s="69"/>
      <c r="B585" s="72"/>
      <c r="C585" s="72"/>
      <c r="D585" s="75"/>
      <c r="E585" s="77"/>
      <c r="F585" s="79"/>
      <c r="G585" s="75"/>
      <c r="H585" s="77"/>
      <c r="I585" s="81"/>
      <c r="J585" s="10" t="str">
        <f>Matiere_premiere[[#This Row],[Entrepot]]</f>
        <v>Usine</v>
      </c>
      <c r="K585" s="9" t="b">
        <f>IF(Matiere_premiere[[#This Row],[INVENTAIRE]]&gt;0,TRUE,FALSE)</f>
        <v>0</v>
      </c>
      <c r="L585" s="66"/>
      <c r="M585" s="13" t="s">
        <v>93</v>
      </c>
      <c r="N585" s="13" t="s">
        <v>96</v>
      </c>
      <c r="O585" s="13" t="s">
        <v>91</v>
      </c>
      <c r="P585" s="13" t="s">
        <v>95</v>
      </c>
      <c r="Q585" s="55">
        <v>24580001</v>
      </c>
      <c r="R585" s="13" t="s">
        <v>68</v>
      </c>
      <c r="S585" s="14">
        <v>0</v>
      </c>
      <c r="T585" s="14"/>
      <c r="U585" s="14"/>
      <c r="V585" s="14">
        <f>SUM(Matiere_premiere[[#This Row],[INVENTAIRE]],-Matiere_premiere[[#This Row],[Entrée]],-Matiere_premiere[[#This Row],[Sortis]])</f>
        <v>0</v>
      </c>
      <c r="W585" s="50" t="str">
        <f>CONCATENATE(Matiere_premiere[[#This Row],[CODE COLEUR]],"_",Matiere_premiere[[#This Row],[COULEUR]],"_",Matiere_premiere[[#This Row],[CODE FAB]],"_",Matiere_premiere[[#This Row],[Num de Lot]])</f>
        <v>CH_Ecru_CH2/50CE_24580001</v>
      </c>
    </row>
    <row r="586" spans="1:23" ht="19.7" customHeight="1" thickTop="1" thickBot="1" x14ac:dyDescent="0.3">
      <c r="A586" s="67" t="str">
        <f>Matiere_premiere[[#This Row],[NUMERO METRIQUE]]</f>
        <v>NM2/50</v>
      </c>
      <c r="B586" s="70" t="str">
        <f>Matiere_premiere[[#This Row],[COULEUR]]</f>
        <v>Ecru</v>
      </c>
      <c r="C586" s="70" t="str">
        <f>Matiere_premiere[[#This Row],[CODE COLEUR]]</f>
        <v>CH</v>
      </c>
      <c r="D586" s="73" t="str">
        <f>Matiere_premiere[[#This Row],[CODE FAB]]</f>
        <v>CH2/50CE</v>
      </c>
      <c r="E586" s="76" t="e" vm="211">
        <f>_xlfn.IMAGE("https://api.qrserver.com/v1/create-qr-code/?size=100x100&amp;data=" &amp; D586)</f>
        <v>#VALUE!</v>
      </c>
      <c r="F586" s="78"/>
      <c r="G586" s="73" t="str">
        <f>Matiere_premiere[[#This Row],[Num de Lot]]</f>
        <v>A221030545/2</v>
      </c>
      <c r="H586" s="76" t="e" vm="213">
        <f>_xlfn.IMAGE("https://api.qrserver.com/v1/create-qr-code/?size=100x100&amp;data=" &amp; G586)</f>
        <v>#VALUE!</v>
      </c>
      <c r="I586" s="80"/>
      <c r="J586" s="12" t="str">
        <f>Matiere_premiere[[#This Row],[Entrepot]]</f>
        <v>E1</v>
      </c>
      <c r="K586" s="9" t="b">
        <f>IF(Matiere_premiere[[#This Row],[INVENTAIRE]]&gt;0,TRUE,FALSE)</f>
        <v>1</v>
      </c>
      <c r="L586" s="65"/>
      <c r="M586" s="8" t="s">
        <v>93</v>
      </c>
      <c r="N586" s="8" t="s">
        <v>96</v>
      </c>
      <c r="O586" s="8" t="s">
        <v>91</v>
      </c>
      <c r="P586" s="8" t="s">
        <v>95</v>
      </c>
      <c r="Q586" s="53" t="s">
        <v>94</v>
      </c>
      <c r="R586" s="8" t="s">
        <v>75</v>
      </c>
      <c r="S586" s="7">
        <v>1461.6</v>
      </c>
      <c r="T586" s="7"/>
      <c r="U586" s="7"/>
      <c r="V586" s="7">
        <f>SUM(Matiere_premiere[[#This Row],[INVENTAIRE]],-Matiere_premiere[[#This Row],[Entrée]],-Matiere_premiere[[#This Row],[Sortis]])</f>
        <v>1461.6</v>
      </c>
      <c r="W586" s="50" t="str">
        <f>CONCATENATE(Matiere_premiere[[#This Row],[CODE COLEUR]],"_",Matiere_premiere[[#This Row],[COULEUR]],"_",Matiere_premiere[[#This Row],[CODE FAB]],"_",Matiere_premiere[[#This Row],[Num de Lot]])</f>
        <v>CH_Ecru_CH2/50CE_A221030545/2</v>
      </c>
    </row>
    <row r="587" spans="1:23" ht="19.7" customHeight="1" thickBot="1" x14ac:dyDescent="0.3">
      <c r="A587" s="68"/>
      <c r="B587" s="71"/>
      <c r="C587" s="71"/>
      <c r="D587" s="74"/>
      <c r="E587" s="76"/>
      <c r="F587" s="78"/>
      <c r="G587" s="74"/>
      <c r="H587" s="76"/>
      <c r="I587" s="80"/>
      <c r="J587" s="11" t="str">
        <f>Matiere_premiere[[#This Row],[Entrepot]]</f>
        <v>E2</v>
      </c>
      <c r="K587" s="9" t="b">
        <f>IF(Matiere_premiere[[#This Row],[INVENTAIRE]]&gt;0,TRUE,FALSE)</f>
        <v>0</v>
      </c>
      <c r="L587" s="65"/>
      <c r="M587" s="8" t="s">
        <v>93</v>
      </c>
      <c r="N587" s="8" t="s">
        <v>96</v>
      </c>
      <c r="O587" s="8" t="s">
        <v>91</v>
      </c>
      <c r="P587" s="8" t="s">
        <v>95</v>
      </c>
      <c r="Q587" s="53" t="s">
        <v>94</v>
      </c>
      <c r="R587" s="8" t="s">
        <v>74</v>
      </c>
      <c r="S587" s="7">
        <v>0</v>
      </c>
      <c r="T587" s="7"/>
      <c r="U587" s="7"/>
      <c r="V587" s="7">
        <f>SUM(Matiere_premiere[[#This Row],[INVENTAIRE]],-Matiere_premiere[[#This Row],[Entrée]],-Matiere_premiere[[#This Row],[Sortis]])</f>
        <v>0</v>
      </c>
      <c r="W587" s="50" t="str">
        <f>CONCATENATE(Matiere_premiere[[#This Row],[CODE COLEUR]],"_",Matiere_premiere[[#This Row],[COULEUR]],"_",Matiere_premiere[[#This Row],[CODE FAB]],"_",Matiere_premiere[[#This Row],[Num de Lot]])</f>
        <v>CH_Ecru_CH2/50CE_A221030545/2</v>
      </c>
    </row>
    <row r="588" spans="1:23" ht="19.7" customHeight="1" thickBot="1" x14ac:dyDescent="0.3">
      <c r="A588" s="68"/>
      <c r="B588" s="71"/>
      <c r="C588" s="71"/>
      <c r="D588" s="74"/>
      <c r="E588" s="76"/>
      <c r="F588" s="78"/>
      <c r="G588" s="74"/>
      <c r="H588" s="76"/>
      <c r="I588" s="80"/>
      <c r="J588" s="11" t="str">
        <f>Matiere_premiere[[#This Row],[Entrepot]]</f>
        <v>E3</v>
      </c>
      <c r="K588" s="9" t="b">
        <f>IF(Matiere_premiere[[#This Row],[INVENTAIRE]]&gt;0,TRUE,FALSE)</f>
        <v>0</v>
      </c>
      <c r="L588" s="65"/>
      <c r="M588" s="8" t="s">
        <v>93</v>
      </c>
      <c r="N588" s="8" t="s">
        <v>96</v>
      </c>
      <c r="O588" s="8" t="s">
        <v>91</v>
      </c>
      <c r="P588" s="8" t="s">
        <v>95</v>
      </c>
      <c r="Q588" s="53" t="s">
        <v>94</v>
      </c>
      <c r="R588" s="8" t="s">
        <v>73</v>
      </c>
      <c r="S588" s="7">
        <v>0</v>
      </c>
      <c r="T588" s="7"/>
      <c r="U588" s="7"/>
      <c r="V588" s="7">
        <f>SUM(Matiere_premiere[[#This Row],[INVENTAIRE]],-Matiere_premiere[[#This Row],[Entrée]],-Matiere_premiere[[#This Row],[Sortis]])</f>
        <v>0</v>
      </c>
      <c r="W588" s="50" t="str">
        <f>CONCATENATE(Matiere_premiere[[#This Row],[CODE COLEUR]],"_",Matiere_premiere[[#This Row],[COULEUR]],"_",Matiere_premiere[[#This Row],[CODE FAB]],"_",Matiere_premiere[[#This Row],[Num de Lot]])</f>
        <v>CH_Ecru_CH2/50CE_A221030545/2</v>
      </c>
    </row>
    <row r="589" spans="1:23" ht="19.7" customHeight="1" thickBot="1" x14ac:dyDescent="0.3">
      <c r="A589" s="69"/>
      <c r="B589" s="72"/>
      <c r="C589" s="72"/>
      <c r="D589" s="75"/>
      <c r="E589" s="77"/>
      <c r="F589" s="79"/>
      <c r="G589" s="75"/>
      <c r="H589" s="77"/>
      <c r="I589" s="81"/>
      <c r="J589" s="10" t="str">
        <f>Matiere_premiere[[#This Row],[Entrepot]]</f>
        <v>Usine</v>
      </c>
      <c r="K589" s="9" t="b">
        <f>IF(Matiere_premiere[[#This Row],[INVENTAIRE]]&gt;0,TRUE,FALSE)</f>
        <v>0</v>
      </c>
      <c r="L589" s="66"/>
      <c r="M589" s="8" t="s">
        <v>93</v>
      </c>
      <c r="N589" s="8" t="s">
        <v>96</v>
      </c>
      <c r="O589" s="8" t="s">
        <v>91</v>
      </c>
      <c r="P589" s="8" t="s">
        <v>95</v>
      </c>
      <c r="Q589" s="53" t="s">
        <v>94</v>
      </c>
      <c r="R589" s="8" t="s">
        <v>68</v>
      </c>
      <c r="S589" s="7">
        <v>0</v>
      </c>
      <c r="T589" s="7"/>
      <c r="U589" s="7"/>
      <c r="V589" s="7">
        <f>SUM(Matiere_premiere[[#This Row],[INVENTAIRE]],-Matiere_premiere[[#This Row],[Entrée]],-Matiere_premiere[[#This Row],[Sortis]])</f>
        <v>0</v>
      </c>
      <c r="W589" s="50" t="str">
        <f>CONCATENATE(Matiere_premiere[[#This Row],[CODE COLEUR]],"_",Matiere_premiere[[#This Row],[COULEUR]],"_",Matiere_premiere[[#This Row],[CODE FAB]],"_",Matiere_premiere[[#This Row],[Num de Lot]])</f>
        <v>CH_Ecru_CH2/50CE_A221030545/2</v>
      </c>
    </row>
    <row r="590" spans="1:23" ht="19.7" customHeight="1" thickTop="1" thickBot="1" x14ac:dyDescent="0.3">
      <c r="A590" s="67" t="str">
        <f>Matiere_premiere[[#This Row],[NUMERO METRIQUE]]</f>
        <v>NM2/50</v>
      </c>
      <c r="B590" s="70" t="str">
        <f>Matiere_premiere[[#This Row],[COULEUR]]</f>
        <v>Noir</v>
      </c>
      <c r="C590" s="70" t="str">
        <f>Matiere_premiere[[#This Row],[CODE COLEUR]]</f>
        <v>CH</v>
      </c>
      <c r="D590" s="73" t="str">
        <f>Matiere_premiere[[#This Row],[CODE FAB]]</f>
        <v>CH2/50PN</v>
      </c>
      <c r="E590" s="76" t="e" vm="214">
        <f>_xlfn.IMAGE("https://api.qrserver.com/v1/create-qr-code/?size=100x100&amp;data=" &amp; D590)</f>
        <v>#VALUE!</v>
      </c>
      <c r="F590" s="78"/>
      <c r="G590" s="73" t="str">
        <f>Matiere_premiere[[#This Row],[Num de Lot]]</f>
        <v>400722.5</v>
      </c>
      <c r="H590" s="76" t="e" vm="215">
        <f>_xlfn.IMAGE("https://api.qrserver.com/v1/create-qr-code/?size=100x100&amp;data=" &amp; G590)</f>
        <v>#VALUE!</v>
      </c>
      <c r="I590" s="80"/>
      <c r="J590" s="12" t="str">
        <f>Matiere_premiere[[#This Row],[Entrepot]]</f>
        <v>E1</v>
      </c>
      <c r="K590" s="9" t="b">
        <f>IF(Matiere_premiere[[#This Row],[INVENTAIRE]]&gt;0,TRUE,FALSE)</f>
        <v>1</v>
      </c>
      <c r="L590" s="65"/>
      <c r="M590" s="13" t="s">
        <v>93</v>
      </c>
      <c r="N590" s="13" t="s">
        <v>92</v>
      </c>
      <c r="O590" s="13" t="s">
        <v>91</v>
      </c>
      <c r="P590" s="13" t="s">
        <v>90</v>
      </c>
      <c r="Q590" s="55" t="s">
        <v>89</v>
      </c>
      <c r="R590" s="13" t="s">
        <v>75</v>
      </c>
      <c r="S590" s="14">
        <v>9550.4</v>
      </c>
      <c r="T590" s="14"/>
      <c r="U590" s="14"/>
      <c r="V590" s="14">
        <f>SUM(Matiere_premiere[[#This Row],[INVENTAIRE]],-Matiere_premiere[[#This Row],[Entrée]],-Matiere_premiere[[#This Row],[Sortis]])</f>
        <v>9550.4</v>
      </c>
      <c r="W590" s="50" t="str">
        <f>CONCATENATE(Matiere_premiere[[#This Row],[CODE COLEUR]],"_",Matiere_premiere[[#This Row],[COULEUR]],"_",Matiere_premiere[[#This Row],[CODE FAB]],"_",Matiere_premiere[[#This Row],[Num de Lot]])</f>
        <v>CH_Noir_CH2/50PN_400722.5</v>
      </c>
    </row>
    <row r="591" spans="1:23" ht="19.7" customHeight="1" thickBot="1" x14ac:dyDescent="0.3">
      <c r="A591" s="68"/>
      <c r="B591" s="71"/>
      <c r="C591" s="71"/>
      <c r="D591" s="74"/>
      <c r="E591" s="76"/>
      <c r="F591" s="78"/>
      <c r="G591" s="74"/>
      <c r="H591" s="76"/>
      <c r="I591" s="80"/>
      <c r="J591" s="11" t="str">
        <f>Matiere_premiere[[#This Row],[Entrepot]]</f>
        <v>E2</v>
      </c>
      <c r="K591" s="9" t="b">
        <f>IF(Matiere_premiere[[#This Row],[INVENTAIRE]]&gt;0,TRUE,FALSE)</f>
        <v>0</v>
      </c>
      <c r="L591" s="65"/>
      <c r="M591" s="13" t="s">
        <v>93</v>
      </c>
      <c r="N591" s="13" t="s">
        <v>92</v>
      </c>
      <c r="O591" s="13" t="s">
        <v>91</v>
      </c>
      <c r="P591" s="13" t="s">
        <v>90</v>
      </c>
      <c r="Q591" s="55" t="s">
        <v>89</v>
      </c>
      <c r="R591" s="13" t="s">
        <v>74</v>
      </c>
      <c r="S591" s="14">
        <v>0</v>
      </c>
      <c r="T591" s="14"/>
      <c r="U591" s="14"/>
      <c r="V591" s="14">
        <f>SUM(Matiere_premiere[[#This Row],[INVENTAIRE]],-Matiere_premiere[[#This Row],[Entrée]],-Matiere_premiere[[#This Row],[Sortis]])</f>
        <v>0</v>
      </c>
      <c r="W591" s="50" t="str">
        <f>CONCATENATE(Matiere_premiere[[#This Row],[CODE COLEUR]],"_",Matiere_premiere[[#This Row],[COULEUR]],"_",Matiere_premiere[[#This Row],[CODE FAB]],"_",Matiere_premiere[[#This Row],[Num de Lot]])</f>
        <v>CH_Noir_CH2/50PN_400722.5</v>
      </c>
    </row>
    <row r="592" spans="1:23" ht="19.7" customHeight="1" thickBot="1" x14ac:dyDescent="0.3">
      <c r="A592" s="68"/>
      <c r="B592" s="71"/>
      <c r="C592" s="71"/>
      <c r="D592" s="74"/>
      <c r="E592" s="76"/>
      <c r="F592" s="78"/>
      <c r="G592" s="74"/>
      <c r="H592" s="76"/>
      <c r="I592" s="80"/>
      <c r="J592" s="11" t="str">
        <f>Matiere_premiere[[#This Row],[Entrepot]]</f>
        <v>E3</v>
      </c>
      <c r="K592" s="9" t="b">
        <f>IF(Matiere_premiere[[#This Row],[INVENTAIRE]]&gt;0,TRUE,FALSE)</f>
        <v>0</v>
      </c>
      <c r="L592" s="65"/>
      <c r="M592" s="13" t="s">
        <v>93</v>
      </c>
      <c r="N592" s="13" t="s">
        <v>92</v>
      </c>
      <c r="O592" s="13" t="s">
        <v>91</v>
      </c>
      <c r="P592" s="13" t="s">
        <v>90</v>
      </c>
      <c r="Q592" s="55" t="s">
        <v>89</v>
      </c>
      <c r="R592" s="13" t="s">
        <v>73</v>
      </c>
      <c r="S592" s="14">
        <v>0</v>
      </c>
      <c r="T592" s="14"/>
      <c r="U592" s="14"/>
      <c r="V592" s="14">
        <f>SUM(Matiere_premiere[[#This Row],[INVENTAIRE]],-Matiere_premiere[[#This Row],[Entrée]],-Matiere_premiere[[#This Row],[Sortis]])</f>
        <v>0</v>
      </c>
      <c r="W592" s="50" t="str">
        <f>CONCATENATE(Matiere_premiere[[#This Row],[CODE COLEUR]],"_",Matiere_premiere[[#This Row],[COULEUR]],"_",Matiere_premiere[[#This Row],[CODE FAB]],"_",Matiere_premiere[[#This Row],[Num de Lot]])</f>
        <v>CH_Noir_CH2/50PN_400722.5</v>
      </c>
    </row>
    <row r="593" spans="1:23" ht="19.7" customHeight="1" thickBot="1" x14ac:dyDescent="0.3">
      <c r="A593" s="69"/>
      <c r="B593" s="72"/>
      <c r="C593" s="72"/>
      <c r="D593" s="75"/>
      <c r="E593" s="77"/>
      <c r="F593" s="79"/>
      <c r="G593" s="75"/>
      <c r="H593" s="77"/>
      <c r="I593" s="81"/>
      <c r="J593" s="10" t="str">
        <f>Matiere_premiere[[#This Row],[Entrepot]]</f>
        <v>Usine</v>
      </c>
      <c r="K593" s="9" t="b">
        <f>IF(Matiere_premiere[[#This Row],[INVENTAIRE]]&gt;0,TRUE,FALSE)</f>
        <v>0</v>
      </c>
      <c r="L593" s="66"/>
      <c r="M593" s="13" t="s">
        <v>93</v>
      </c>
      <c r="N593" s="13" t="s">
        <v>92</v>
      </c>
      <c r="O593" s="13" t="s">
        <v>91</v>
      </c>
      <c r="P593" s="13" t="s">
        <v>90</v>
      </c>
      <c r="Q593" s="55" t="s">
        <v>89</v>
      </c>
      <c r="R593" s="13" t="s">
        <v>68</v>
      </c>
      <c r="S593" s="14">
        <v>0</v>
      </c>
      <c r="T593" s="14"/>
      <c r="U593" s="14"/>
      <c r="V593" s="14">
        <f>SUM(Matiere_premiere[[#This Row],[INVENTAIRE]],-Matiere_premiere[[#This Row],[Entrée]],-Matiere_premiere[[#This Row],[Sortis]])</f>
        <v>0</v>
      </c>
      <c r="W593" s="50" t="str">
        <f>CONCATENATE(Matiere_premiere[[#This Row],[CODE COLEUR]],"_",Matiere_premiere[[#This Row],[COULEUR]],"_",Matiere_premiere[[#This Row],[CODE FAB]],"_",Matiere_premiere[[#This Row],[Num de Lot]])</f>
        <v>CH_Noir_CH2/50PN_400722.5</v>
      </c>
    </row>
    <row r="594" spans="1:23" ht="19.7" customHeight="1" thickTop="1" thickBot="1" x14ac:dyDescent="0.3">
      <c r="A594" s="67" t="str">
        <f>Matiere_premiere[[#This Row],[NUMERO METRIQUE]]</f>
        <v>NM20</v>
      </c>
      <c r="B594" s="70" t="str">
        <f>Matiere_premiere[[#This Row],[COULEUR]]</f>
        <v>LIN Claire</v>
      </c>
      <c r="C594" s="70" t="str">
        <f>Matiere_premiere[[#This Row],[CODE COLEUR]]</f>
        <v>CLin</v>
      </c>
      <c r="D594" s="73" t="str">
        <f>Matiere_premiere[[#This Row],[CODE FAB]]</f>
        <v>NM20-LinC</v>
      </c>
      <c r="E594" s="76" t="e" vm="216">
        <f>_xlfn.IMAGE("https://api.qrserver.com/v1/create-qr-code/?size=100x100&amp;data=" &amp; D594)</f>
        <v>#VALUE!</v>
      </c>
      <c r="F594" s="78"/>
      <c r="G594" s="73" t="str">
        <f>Matiere_premiere[[#This Row],[Num de Lot]]</f>
        <v>S2018</v>
      </c>
      <c r="H594" s="76" t="e" vm="217">
        <f>_xlfn.IMAGE("https://api.qrserver.com/v1/create-qr-code/?size=100x100&amp;data=" &amp; G594)</f>
        <v>#VALUE!</v>
      </c>
      <c r="I594" s="80"/>
      <c r="J594" s="12" t="str">
        <f>Matiere_premiere[[#This Row],[Entrepot]]</f>
        <v>E1</v>
      </c>
      <c r="K594" s="9" t="b">
        <f>IF(Matiere_premiere[[#This Row],[INVENTAIRE]]&gt;0,TRUE,FALSE)</f>
        <v>0</v>
      </c>
      <c r="L594" s="65"/>
      <c r="M594" s="8" t="s">
        <v>82</v>
      </c>
      <c r="N594" s="8" t="s">
        <v>88</v>
      </c>
      <c r="O594" s="8" t="s">
        <v>350</v>
      </c>
      <c r="P594" s="8" t="s">
        <v>86</v>
      </c>
      <c r="Q594" s="53" t="s">
        <v>78</v>
      </c>
      <c r="R594" s="8" t="s">
        <v>75</v>
      </c>
      <c r="S594" s="7">
        <v>0</v>
      </c>
      <c r="T594" s="7"/>
      <c r="U594" s="7"/>
      <c r="V594" s="7">
        <f>SUM(Matiere_premiere[[#This Row],[INVENTAIRE]],-Matiere_premiere[[#This Row],[Entrée]],-Matiere_premiere[[#This Row],[Sortis]])</f>
        <v>0</v>
      </c>
      <c r="W594" s="50" t="str">
        <f>CONCATENATE(Matiere_premiere[[#This Row],[CODE COLEUR]],"_",Matiere_premiere[[#This Row],[COULEUR]],"_",Matiere_premiere[[#This Row],[CODE FAB]],"_",Matiere_premiere[[#This Row],[Num de Lot]])</f>
        <v>CLin_LIN Claire_NM20-LinC_S2018</v>
      </c>
    </row>
    <row r="595" spans="1:23" ht="19.7" customHeight="1" thickBot="1" x14ac:dyDescent="0.3">
      <c r="A595" s="68"/>
      <c r="B595" s="71"/>
      <c r="C595" s="71"/>
      <c r="D595" s="74"/>
      <c r="E595" s="76"/>
      <c r="F595" s="78"/>
      <c r="G595" s="74"/>
      <c r="H595" s="76"/>
      <c r="I595" s="80"/>
      <c r="J595" s="11" t="str">
        <f>Matiere_premiere[[#This Row],[Entrepot]]</f>
        <v>E2</v>
      </c>
      <c r="K595" s="9" t="b">
        <f>IF(Matiere_premiere[[#This Row],[INVENTAIRE]]&gt;0,TRUE,FALSE)</f>
        <v>0</v>
      </c>
      <c r="L595" s="65"/>
      <c r="M595" s="8" t="s">
        <v>82</v>
      </c>
      <c r="N595" s="8" t="s">
        <v>88</v>
      </c>
      <c r="O595" s="8" t="s">
        <v>350</v>
      </c>
      <c r="P595" s="8" t="s">
        <v>86</v>
      </c>
      <c r="Q595" s="53" t="s">
        <v>78</v>
      </c>
      <c r="R595" s="8" t="s">
        <v>74</v>
      </c>
      <c r="S595" s="7">
        <v>0</v>
      </c>
      <c r="T595" s="7"/>
      <c r="U595" s="7"/>
      <c r="V595" s="7">
        <f>SUM(Matiere_premiere[[#This Row],[INVENTAIRE]],-Matiere_premiere[[#This Row],[Entrée]],-Matiere_premiere[[#This Row],[Sortis]])</f>
        <v>0</v>
      </c>
      <c r="W595" s="50" t="str">
        <f>CONCATENATE(Matiere_premiere[[#This Row],[CODE COLEUR]],"_",Matiere_premiere[[#This Row],[COULEUR]],"_",Matiere_premiere[[#This Row],[CODE FAB]],"_",Matiere_premiere[[#This Row],[Num de Lot]])</f>
        <v>CLin_LIN Claire_NM20-LinC_S2018</v>
      </c>
    </row>
    <row r="596" spans="1:23" ht="19.7" customHeight="1" thickBot="1" x14ac:dyDescent="0.3">
      <c r="A596" s="68"/>
      <c r="B596" s="71"/>
      <c r="C596" s="71"/>
      <c r="D596" s="74"/>
      <c r="E596" s="76"/>
      <c r="F596" s="78"/>
      <c r="G596" s="74"/>
      <c r="H596" s="76"/>
      <c r="I596" s="80"/>
      <c r="J596" s="11" t="str">
        <f>Matiere_premiere[[#This Row],[Entrepot]]</f>
        <v>E3</v>
      </c>
      <c r="K596" s="9" t="b">
        <f>IF(Matiere_premiere[[#This Row],[INVENTAIRE]]&gt;0,TRUE,FALSE)</f>
        <v>0</v>
      </c>
      <c r="L596" s="65"/>
      <c r="M596" s="8" t="s">
        <v>82</v>
      </c>
      <c r="N596" s="8" t="s">
        <v>88</v>
      </c>
      <c r="O596" s="8" t="s">
        <v>350</v>
      </c>
      <c r="P596" s="8" t="s">
        <v>86</v>
      </c>
      <c r="Q596" s="53" t="s">
        <v>78</v>
      </c>
      <c r="R596" s="8" t="s">
        <v>73</v>
      </c>
      <c r="S596" s="7">
        <v>0</v>
      </c>
      <c r="T596" s="7"/>
      <c r="U596" s="7"/>
      <c r="V596" s="7">
        <f>SUM(Matiere_premiere[[#This Row],[INVENTAIRE]],-Matiere_premiere[[#This Row],[Entrée]],-Matiere_premiere[[#This Row],[Sortis]])</f>
        <v>0</v>
      </c>
      <c r="W596" s="50" t="str">
        <f>CONCATENATE(Matiere_premiere[[#This Row],[CODE COLEUR]],"_",Matiere_premiere[[#This Row],[COULEUR]],"_",Matiere_premiere[[#This Row],[CODE FAB]],"_",Matiere_premiere[[#This Row],[Num de Lot]])</f>
        <v>CLin_LIN Claire_NM20-LinC_S2018</v>
      </c>
    </row>
    <row r="597" spans="1:23" ht="19.7" customHeight="1" thickBot="1" x14ac:dyDescent="0.3">
      <c r="A597" s="69"/>
      <c r="B597" s="72"/>
      <c r="C597" s="72"/>
      <c r="D597" s="75"/>
      <c r="E597" s="77"/>
      <c r="F597" s="79"/>
      <c r="G597" s="75"/>
      <c r="H597" s="77"/>
      <c r="I597" s="81"/>
      <c r="J597" s="10" t="str">
        <f>Matiere_premiere[[#This Row],[Entrepot]]</f>
        <v>Usine</v>
      </c>
      <c r="K597" s="9" t="b">
        <f>IF(Matiere_premiere[[#This Row],[INVENTAIRE]]&gt;0,TRUE,FALSE)</f>
        <v>1</v>
      </c>
      <c r="L597" s="66"/>
      <c r="M597" s="8" t="s">
        <v>82</v>
      </c>
      <c r="N597" s="8" t="s">
        <v>88</v>
      </c>
      <c r="O597" s="8" t="s">
        <v>350</v>
      </c>
      <c r="P597" s="8" t="s">
        <v>86</v>
      </c>
      <c r="Q597" s="53" t="s">
        <v>78</v>
      </c>
      <c r="R597" s="8" t="s">
        <v>68</v>
      </c>
      <c r="S597" s="7">
        <v>445</v>
      </c>
      <c r="T597" s="7"/>
      <c r="U597" s="7"/>
      <c r="V597" s="7">
        <f>SUM(Matiere_premiere[[#This Row],[INVENTAIRE]],-Matiere_premiere[[#This Row],[Entrée]],-Matiere_premiere[[#This Row],[Sortis]])</f>
        <v>445</v>
      </c>
      <c r="W597" s="50" t="str">
        <f>CONCATENATE(Matiere_premiere[[#This Row],[CODE COLEUR]],"_",Matiere_premiere[[#This Row],[COULEUR]],"_",Matiere_premiere[[#This Row],[CODE FAB]],"_",Matiere_premiere[[#This Row],[Num de Lot]])</f>
        <v>CLin_LIN Claire_NM20-LinC_S2018</v>
      </c>
    </row>
    <row r="598" spans="1:23" ht="19.7" customHeight="1" thickTop="1" thickBot="1" x14ac:dyDescent="0.3">
      <c r="A598" s="67" t="str">
        <f>Matiere_premiere[[#This Row],[NUMERO METRIQUE]]</f>
        <v>NM20</v>
      </c>
      <c r="B598" s="70" t="str">
        <f>Matiere_premiere[[#This Row],[COULEUR]]</f>
        <v>LIN Fonce</v>
      </c>
      <c r="C598" s="70" t="str">
        <f>Matiere_premiere[[#This Row],[CODE COLEUR]]</f>
        <v>CLin</v>
      </c>
      <c r="D598" s="73" t="str">
        <f>Matiere_premiere[[#This Row],[CODE FAB]]</f>
        <v>NM20-LinF</v>
      </c>
      <c r="E598" s="76" t="e" vm="218">
        <f>_xlfn.IMAGE("https://api.qrserver.com/v1/create-qr-code/?size=100x100&amp;data=" &amp; D598)</f>
        <v>#VALUE!</v>
      </c>
      <c r="F598" s="78"/>
      <c r="G598" s="73" t="str">
        <f>Matiere_premiere[[#This Row],[Num de Lot]]</f>
        <v>S2018</v>
      </c>
      <c r="H598" s="76" t="e" vm="217">
        <f>_xlfn.IMAGE("https://api.qrserver.com/v1/create-qr-code/?size=100x100&amp;data=" &amp; G598)</f>
        <v>#VALUE!</v>
      </c>
      <c r="I598" s="80"/>
      <c r="J598" s="12" t="str">
        <f>Matiere_premiere[[#This Row],[Entrepot]]</f>
        <v>E1</v>
      </c>
      <c r="K598" s="9" t="b">
        <f>IF(Matiere_premiere[[#This Row],[INVENTAIRE]]&gt;0,TRUE,FALSE)</f>
        <v>0</v>
      </c>
      <c r="L598" s="65"/>
      <c r="M598" s="13" t="s">
        <v>82</v>
      </c>
      <c r="N598" s="13" t="s">
        <v>85</v>
      </c>
      <c r="O598" s="13" t="s">
        <v>350</v>
      </c>
      <c r="P598" s="13" t="s">
        <v>83</v>
      </c>
      <c r="Q598" s="55" t="s">
        <v>78</v>
      </c>
      <c r="R598" s="13" t="s">
        <v>75</v>
      </c>
      <c r="S598" s="14">
        <v>0</v>
      </c>
      <c r="T598" s="14"/>
      <c r="U598" s="14"/>
      <c r="V598" s="14">
        <f>SUM(Matiere_premiere[[#This Row],[INVENTAIRE]],-Matiere_premiere[[#This Row],[Entrée]],-Matiere_premiere[[#This Row],[Sortis]])</f>
        <v>0</v>
      </c>
      <c r="W598" s="50" t="str">
        <f>CONCATENATE(Matiere_premiere[[#This Row],[CODE COLEUR]],"_",Matiere_premiere[[#This Row],[COULEUR]],"_",Matiere_premiere[[#This Row],[CODE FAB]],"_",Matiere_premiere[[#This Row],[Num de Lot]])</f>
        <v>CLin_LIN Fonce_NM20-LinF_S2018</v>
      </c>
    </row>
    <row r="599" spans="1:23" ht="19.7" customHeight="1" thickBot="1" x14ac:dyDescent="0.3">
      <c r="A599" s="68"/>
      <c r="B599" s="71"/>
      <c r="C599" s="71"/>
      <c r="D599" s="74"/>
      <c r="E599" s="76"/>
      <c r="F599" s="78"/>
      <c r="G599" s="74"/>
      <c r="H599" s="76"/>
      <c r="I599" s="80"/>
      <c r="J599" s="11" t="str">
        <f>Matiere_premiere[[#This Row],[Entrepot]]</f>
        <v>E2</v>
      </c>
      <c r="K599" s="9" t="b">
        <f>IF(Matiere_premiere[[#This Row],[INVENTAIRE]]&gt;0,TRUE,FALSE)</f>
        <v>0</v>
      </c>
      <c r="L599" s="65"/>
      <c r="M599" s="13" t="s">
        <v>82</v>
      </c>
      <c r="N599" s="13" t="s">
        <v>85</v>
      </c>
      <c r="O599" s="13" t="s">
        <v>350</v>
      </c>
      <c r="P599" s="13" t="s">
        <v>83</v>
      </c>
      <c r="Q599" s="55" t="s">
        <v>78</v>
      </c>
      <c r="R599" s="13" t="s">
        <v>74</v>
      </c>
      <c r="S599" s="14">
        <v>0</v>
      </c>
      <c r="T599" s="14"/>
      <c r="U599" s="14"/>
      <c r="V599" s="14">
        <f>SUM(Matiere_premiere[[#This Row],[INVENTAIRE]],-Matiere_premiere[[#This Row],[Entrée]],-Matiere_premiere[[#This Row],[Sortis]])</f>
        <v>0</v>
      </c>
      <c r="W599" s="50" t="str">
        <f>CONCATENATE(Matiere_premiere[[#This Row],[CODE COLEUR]],"_",Matiere_premiere[[#This Row],[COULEUR]],"_",Matiere_premiere[[#This Row],[CODE FAB]],"_",Matiere_premiere[[#This Row],[Num de Lot]])</f>
        <v>CLin_LIN Fonce_NM20-LinF_S2018</v>
      </c>
    </row>
    <row r="600" spans="1:23" ht="19.7" customHeight="1" thickBot="1" x14ac:dyDescent="0.3">
      <c r="A600" s="68"/>
      <c r="B600" s="71"/>
      <c r="C600" s="71"/>
      <c r="D600" s="74"/>
      <c r="E600" s="76"/>
      <c r="F600" s="78"/>
      <c r="G600" s="74"/>
      <c r="H600" s="76"/>
      <c r="I600" s="80"/>
      <c r="J600" s="11" t="str">
        <f>Matiere_premiere[[#This Row],[Entrepot]]</f>
        <v>E3</v>
      </c>
      <c r="K600" s="9" t="b">
        <f>IF(Matiere_premiere[[#This Row],[INVENTAIRE]]&gt;0,TRUE,FALSE)</f>
        <v>0</v>
      </c>
      <c r="L600" s="65"/>
      <c r="M600" s="13" t="s">
        <v>82</v>
      </c>
      <c r="N600" s="13" t="s">
        <v>85</v>
      </c>
      <c r="O600" s="13" t="s">
        <v>350</v>
      </c>
      <c r="P600" s="13" t="s">
        <v>83</v>
      </c>
      <c r="Q600" s="55" t="s">
        <v>78</v>
      </c>
      <c r="R600" s="13" t="s">
        <v>73</v>
      </c>
      <c r="S600" s="14">
        <v>0</v>
      </c>
      <c r="T600" s="14"/>
      <c r="U600" s="14"/>
      <c r="V600" s="14">
        <f>SUM(Matiere_premiere[[#This Row],[INVENTAIRE]],-Matiere_premiere[[#This Row],[Entrée]],-Matiere_premiere[[#This Row],[Sortis]])</f>
        <v>0</v>
      </c>
      <c r="W600" s="50" t="str">
        <f>CONCATENATE(Matiere_premiere[[#This Row],[CODE COLEUR]],"_",Matiere_premiere[[#This Row],[COULEUR]],"_",Matiere_premiere[[#This Row],[CODE FAB]],"_",Matiere_premiere[[#This Row],[Num de Lot]])</f>
        <v>CLin_LIN Fonce_NM20-LinF_S2018</v>
      </c>
    </row>
    <row r="601" spans="1:23" ht="19.7" customHeight="1" thickBot="1" x14ac:dyDescent="0.3">
      <c r="A601" s="69"/>
      <c r="B601" s="72"/>
      <c r="C601" s="72"/>
      <c r="D601" s="75"/>
      <c r="E601" s="77"/>
      <c r="F601" s="79"/>
      <c r="G601" s="75"/>
      <c r="H601" s="77"/>
      <c r="I601" s="81"/>
      <c r="J601" s="10" t="str">
        <f>Matiere_premiere[[#This Row],[Entrepot]]</f>
        <v>Usine</v>
      </c>
      <c r="K601" s="9" t="b">
        <f>IF(Matiere_premiere[[#This Row],[INVENTAIRE]]&gt;0,TRUE,FALSE)</f>
        <v>1</v>
      </c>
      <c r="L601" s="66"/>
      <c r="M601" s="13" t="s">
        <v>82</v>
      </c>
      <c r="N601" s="13" t="s">
        <v>85</v>
      </c>
      <c r="O601" s="13" t="s">
        <v>350</v>
      </c>
      <c r="P601" s="13" t="s">
        <v>83</v>
      </c>
      <c r="Q601" s="55" t="s">
        <v>78</v>
      </c>
      <c r="R601" s="13" t="s">
        <v>68</v>
      </c>
      <c r="S601" s="14">
        <v>33</v>
      </c>
      <c r="T601" s="14"/>
      <c r="U601" s="14"/>
      <c r="V601" s="14">
        <f>SUM(Matiere_premiere[[#This Row],[INVENTAIRE]],-Matiere_premiere[[#This Row],[Entrée]],-Matiere_premiere[[#This Row],[Sortis]])</f>
        <v>33</v>
      </c>
      <c r="W601" s="50" t="str">
        <f>CONCATENATE(Matiere_premiere[[#This Row],[CODE COLEUR]],"_",Matiere_premiere[[#This Row],[COULEUR]],"_",Matiere_premiere[[#This Row],[CODE FAB]],"_",Matiere_premiere[[#This Row],[Num de Lot]])</f>
        <v>CLin_LIN Fonce_NM20-LinF_S2018</v>
      </c>
    </row>
    <row r="602" spans="1:23" ht="19.7" customHeight="1" thickTop="1" thickBot="1" x14ac:dyDescent="0.3">
      <c r="A602" s="67" t="str">
        <f>Matiere_premiere[[#This Row],[NUMERO METRIQUE]]</f>
        <v>NM20</v>
      </c>
      <c r="B602" s="70" t="str">
        <f>Matiere_premiere[[#This Row],[COULEUR]]</f>
        <v>LIN Moyen</v>
      </c>
      <c r="C602" s="70" t="str">
        <f>Matiere_premiere[[#This Row],[CODE COLEUR]]</f>
        <v>CLin</v>
      </c>
      <c r="D602" s="73" t="str">
        <f>Matiere_premiere[[#This Row],[CODE FAB]]</f>
        <v>NM20-LinM</v>
      </c>
      <c r="E602" s="76" t="e" vm="219">
        <f>_xlfn.IMAGE("https://api.qrserver.com/v1/create-qr-code/?size=100x100&amp;data=" &amp; D602)</f>
        <v>#VALUE!</v>
      </c>
      <c r="F602" s="78"/>
      <c r="G602" s="73" t="str">
        <f>Matiere_premiere[[#This Row],[Num de Lot]]</f>
        <v>S2018</v>
      </c>
      <c r="H602" s="76" t="e" vm="217">
        <f>_xlfn.IMAGE("https://api.qrserver.com/v1/create-qr-code/?size=100x100&amp;data=" &amp; G602)</f>
        <v>#VALUE!</v>
      </c>
      <c r="I602" s="80"/>
      <c r="J602" s="12" t="str">
        <f>Matiere_premiere[[#This Row],[Entrepot]]</f>
        <v>E1</v>
      </c>
      <c r="K602" s="9" t="b">
        <f>IF(Matiere_premiere[[#This Row],[INVENTAIRE]]&gt;0,TRUE,FALSE)</f>
        <v>0</v>
      </c>
      <c r="L602" s="65"/>
      <c r="M602" s="8" t="s">
        <v>82</v>
      </c>
      <c r="N602" s="8" t="s">
        <v>81</v>
      </c>
      <c r="O602" s="8" t="s">
        <v>350</v>
      </c>
      <c r="P602" s="8" t="s">
        <v>79</v>
      </c>
      <c r="Q602" s="53" t="s">
        <v>78</v>
      </c>
      <c r="R602" s="8" t="s">
        <v>75</v>
      </c>
      <c r="S602" s="7">
        <v>0</v>
      </c>
      <c r="T602" s="7"/>
      <c r="U602" s="7"/>
      <c r="V602" s="7">
        <f>SUM(Matiere_premiere[[#This Row],[INVENTAIRE]],-Matiere_premiere[[#This Row],[Entrée]],-Matiere_premiere[[#This Row],[Sortis]])</f>
        <v>0</v>
      </c>
      <c r="W602" s="50" t="str">
        <f>CONCATENATE(Matiere_premiere[[#This Row],[CODE COLEUR]],"_",Matiere_premiere[[#This Row],[COULEUR]],"_",Matiere_premiere[[#This Row],[CODE FAB]],"_",Matiere_premiere[[#This Row],[Num de Lot]])</f>
        <v>CLin_LIN Moyen_NM20-LinM_S2018</v>
      </c>
    </row>
    <row r="603" spans="1:23" ht="19.7" customHeight="1" thickBot="1" x14ac:dyDescent="0.3">
      <c r="A603" s="68"/>
      <c r="B603" s="71"/>
      <c r="C603" s="71"/>
      <c r="D603" s="74"/>
      <c r="E603" s="76"/>
      <c r="F603" s="78"/>
      <c r="G603" s="74"/>
      <c r="H603" s="76"/>
      <c r="I603" s="80"/>
      <c r="J603" s="11" t="str">
        <f>Matiere_premiere[[#This Row],[Entrepot]]</f>
        <v>E2</v>
      </c>
      <c r="K603" s="9" t="b">
        <f>IF(Matiere_premiere[[#This Row],[INVENTAIRE]]&gt;0,TRUE,FALSE)</f>
        <v>0</v>
      </c>
      <c r="L603" s="65"/>
      <c r="M603" s="8" t="s">
        <v>82</v>
      </c>
      <c r="N603" s="8" t="s">
        <v>81</v>
      </c>
      <c r="O603" s="8" t="s">
        <v>350</v>
      </c>
      <c r="P603" s="8" t="s">
        <v>79</v>
      </c>
      <c r="Q603" s="53" t="s">
        <v>78</v>
      </c>
      <c r="R603" s="8" t="s">
        <v>74</v>
      </c>
      <c r="S603" s="7">
        <v>0</v>
      </c>
      <c r="T603" s="7"/>
      <c r="U603" s="7"/>
      <c r="V603" s="7">
        <f>SUM(Matiere_premiere[[#This Row],[INVENTAIRE]],-Matiere_premiere[[#This Row],[Entrée]],-Matiere_premiere[[#This Row],[Sortis]])</f>
        <v>0</v>
      </c>
      <c r="W603" s="50" t="str">
        <f>CONCATENATE(Matiere_premiere[[#This Row],[CODE COLEUR]],"_",Matiere_premiere[[#This Row],[COULEUR]],"_",Matiere_premiere[[#This Row],[CODE FAB]],"_",Matiere_premiere[[#This Row],[Num de Lot]])</f>
        <v>CLin_LIN Moyen_NM20-LinM_S2018</v>
      </c>
    </row>
    <row r="604" spans="1:23" ht="19.7" customHeight="1" thickBot="1" x14ac:dyDescent="0.3">
      <c r="A604" s="68"/>
      <c r="B604" s="71"/>
      <c r="C604" s="71"/>
      <c r="D604" s="74"/>
      <c r="E604" s="76"/>
      <c r="F604" s="78"/>
      <c r="G604" s="74"/>
      <c r="H604" s="76"/>
      <c r="I604" s="80"/>
      <c r="J604" s="11" t="str">
        <f>Matiere_premiere[[#This Row],[Entrepot]]</f>
        <v>E3</v>
      </c>
      <c r="K604" s="9" t="b">
        <f>IF(Matiere_premiere[[#This Row],[INVENTAIRE]]&gt;0,TRUE,FALSE)</f>
        <v>0</v>
      </c>
      <c r="L604" s="65"/>
      <c r="M604" s="8" t="s">
        <v>82</v>
      </c>
      <c r="N604" s="8" t="s">
        <v>81</v>
      </c>
      <c r="O604" s="8" t="s">
        <v>350</v>
      </c>
      <c r="P604" s="8" t="s">
        <v>79</v>
      </c>
      <c r="Q604" s="53" t="s">
        <v>78</v>
      </c>
      <c r="R604" s="8" t="s">
        <v>73</v>
      </c>
      <c r="S604" s="7">
        <v>0</v>
      </c>
      <c r="T604" s="7"/>
      <c r="U604" s="7"/>
      <c r="V604" s="7">
        <f>SUM(Matiere_premiere[[#This Row],[INVENTAIRE]],-Matiere_premiere[[#This Row],[Entrée]],-Matiere_premiere[[#This Row],[Sortis]])</f>
        <v>0</v>
      </c>
      <c r="W604" s="50" t="str">
        <f>CONCATENATE(Matiere_premiere[[#This Row],[CODE COLEUR]],"_",Matiere_premiere[[#This Row],[COULEUR]],"_",Matiere_premiere[[#This Row],[CODE FAB]],"_",Matiere_premiere[[#This Row],[Num de Lot]])</f>
        <v>CLin_LIN Moyen_NM20-LinM_S2018</v>
      </c>
    </row>
    <row r="605" spans="1:23" ht="19.7" customHeight="1" thickBot="1" x14ac:dyDescent="0.3">
      <c r="A605" s="69"/>
      <c r="B605" s="72"/>
      <c r="C605" s="72"/>
      <c r="D605" s="75"/>
      <c r="E605" s="77"/>
      <c r="F605" s="79"/>
      <c r="G605" s="75"/>
      <c r="H605" s="77"/>
      <c r="I605" s="81"/>
      <c r="J605" s="10" t="str">
        <f>Matiere_premiere[[#This Row],[Entrepot]]</f>
        <v>Usine</v>
      </c>
      <c r="K605" s="9" t="b">
        <f>IF(Matiere_premiere[[#This Row],[INVENTAIRE]]&gt;0,TRUE,FALSE)</f>
        <v>1</v>
      </c>
      <c r="L605" s="66"/>
      <c r="M605" s="8" t="s">
        <v>82</v>
      </c>
      <c r="N605" s="8" t="s">
        <v>81</v>
      </c>
      <c r="O605" s="8" t="s">
        <v>350</v>
      </c>
      <c r="P605" s="8" t="s">
        <v>79</v>
      </c>
      <c r="Q605" s="53" t="s">
        <v>78</v>
      </c>
      <c r="R605" s="8" t="s">
        <v>68</v>
      </c>
      <c r="S605" s="7">
        <v>163</v>
      </c>
      <c r="T605" s="7"/>
      <c r="U605" s="7"/>
      <c r="V605" s="7">
        <f>SUM(Matiere_premiere[[#This Row],[INVENTAIRE]],-Matiere_premiere[[#This Row],[Entrée]],-Matiere_premiere[[#This Row],[Sortis]])</f>
        <v>163</v>
      </c>
      <c r="W605" s="50" t="str">
        <f>CONCATENATE(Matiere_premiere[[#This Row],[CODE COLEUR]],"_",Matiere_premiere[[#This Row],[COULEUR]],"_",Matiere_premiere[[#This Row],[CODE FAB]],"_",Matiere_premiere[[#This Row],[Num de Lot]])</f>
        <v>CLin_LIN Moyen_NM20-LinM_S2018</v>
      </c>
    </row>
    <row r="606" spans="1:23" ht="19.7" customHeight="1" thickTop="1" thickBot="1" x14ac:dyDescent="0.3">
      <c r="A606" s="67" t="str">
        <f>Matiere_premiere[[#This Row],[NUMERO METRIQUE]]</f>
        <v>NM50</v>
      </c>
      <c r="B606" s="70" t="str">
        <f>Matiere_premiere[[#This Row],[COULEUR]]</f>
        <v>LUREX ARGENT</v>
      </c>
      <c r="C606" s="70" t="str">
        <f>Matiere_premiere[[#This Row],[CODE COLEUR]]</f>
        <v>CLuAr</v>
      </c>
      <c r="D606" s="73" t="str">
        <f>Matiere_premiere[[#This Row],[CODE FAB]]</f>
        <v>LuAr</v>
      </c>
      <c r="E606" s="76" t="e" vm="220">
        <f>_xlfn.IMAGE("https://api.qrserver.com/v1/create-qr-code/?size=100x100&amp;data=" &amp; D606)</f>
        <v>#VALUE!</v>
      </c>
      <c r="F606" s="78"/>
      <c r="G606" s="73" t="str">
        <f>Matiere_premiere[[#This Row],[Num de Lot]]</f>
        <v>S2023</v>
      </c>
      <c r="H606" s="76" t="e" vm="2">
        <f>_xlfn.IMAGE("https://api.qrserver.com/v1/create-qr-code/?size=100x100&amp;data=" &amp; G606)</f>
        <v>#VALUE!</v>
      </c>
      <c r="I606" s="80"/>
      <c r="J606" s="12" t="str">
        <f>Matiere_premiere[[#This Row],[Entrepot]]</f>
        <v>E1</v>
      </c>
      <c r="K606" s="9" t="b">
        <f>IF(Matiere_premiere[[#This Row],[INVENTAIRE]]&gt;0,TRUE,FALSE)</f>
        <v>0</v>
      </c>
      <c r="L606" s="65"/>
      <c r="M606" s="13" t="s">
        <v>72</v>
      </c>
      <c r="N606" s="13" t="s">
        <v>77</v>
      </c>
      <c r="O606" s="13" t="s">
        <v>348</v>
      </c>
      <c r="P606" s="13" t="s">
        <v>76</v>
      </c>
      <c r="Q606" s="55" t="s">
        <v>69</v>
      </c>
      <c r="R606" s="13" t="s">
        <v>75</v>
      </c>
      <c r="S606" s="14">
        <v>0</v>
      </c>
      <c r="T606" s="14"/>
      <c r="U606" s="14"/>
      <c r="V606" s="14">
        <f>SUM(Matiere_premiere[[#This Row],[INVENTAIRE]],-Matiere_premiere[[#This Row],[Entrée]],-Matiere_premiere[[#This Row],[Sortis]])</f>
        <v>0</v>
      </c>
      <c r="W606" s="50" t="str">
        <f>CONCATENATE(Matiere_premiere[[#This Row],[CODE COLEUR]],"_",Matiere_premiere[[#This Row],[COULEUR]],"_",Matiere_premiere[[#This Row],[CODE FAB]],"_",Matiere_premiere[[#This Row],[Num de Lot]])</f>
        <v>CLuAr_LUREX ARGENT_LuAr_S2023</v>
      </c>
    </row>
    <row r="607" spans="1:23" ht="19.7" customHeight="1" thickBot="1" x14ac:dyDescent="0.3">
      <c r="A607" s="68"/>
      <c r="B607" s="71"/>
      <c r="C607" s="71"/>
      <c r="D607" s="74"/>
      <c r="E607" s="76"/>
      <c r="F607" s="78"/>
      <c r="G607" s="74"/>
      <c r="H607" s="76"/>
      <c r="I607" s="80"/>
      <c r="J607" s="11" t="str">
        <f>Matiere_premiere[[#This Row],[Entrepot]]</f>
        <v>E2</v>
      </c>
      <c r="K607" s="9" t="b">
        <f>IF(Matiere_premiere[[#This Row],[INVENTAIRE]]&gt;0,TRUE,FALSE)</f>
        <v>0</v>
      </c>
      <c r="L607" s="65"/>
      <c r="M607" s="13" t="s">
        <v>72</v>
      </c>
      <c r="N607" s="13" t="s">
        <v>77</v>
      </c>
      <c r="O607" s="13" t="s">
        <v>348</v>
      </c>
      <c r="P607" s="13" t="s">
        <v>76</v>
      </c>
      <c r="Q607" s="55" t="s">
        <v>69</v>
      </c>
      <c r="R607" s="13" t="s">
        <v>74</v>
      </c>
      <c r="S607" s="14">
        <v>0</v>
      </c>
      <c r="T607" s="14"/>
      <c r="U607" s="14"/>
      <c r="V607" s="14">
        <f>SUM(Matiere_premiere[[#This Row],[INVENTAIRE]],-Matiere_premiere[[#This Row],[Entrée]],-Matiere_premiere[[#This Row],[Sortis]])</f>
        <v>0</v>
      </c>
      <c r="W607" s="50" t="str">
        <f>CONCATENATE(Matiere_premiere[[#This Row],[CODE COLEUR]],"_",Matiere_premiere[[#This Row],[COULEUR]],"_",Matiere_premiere[[#This Row],[CODE FAB]],"_",Matiere_premiere[[#This Row],[Num de Lot]])</f>
        <v>CLuAr_LUREX ARGENT_LuAr_S2023</v>
      </c>
    </row>
    <row r="608" spans="1:23" ht="19.7" customHeight="1" thickBot="1" x14ac:dyDescent="0.3">
      <c r="A608" s="68"/>
      <c r="B608" s="71"/>
      <c r="C608" s="71"/>
      <c r="D608" s="74"/>
      <c r="E608" s="76"/>
      <c r="F608" s="78"/>
      <c r="G608" s="74"/>
      <c r="H608" s="76"/>
      <c r="I608" s="80"/>
      <c r="J608" s="11" t="str">
        <f>Matiere_premiere[[#This Row],[Entrepot]]</f>
        <v>E3</v>
      </c>
      <c r="K608" s="9" t="b">
        <f>IF(Matiere_premiere[[#This Row],[INVENTAIRE]]&gt;0,TRUE,FALSE)</f>
        <v>0</v>
      </c>
      <c r="L608" s="65"/>
      <c r="M608" s="13" t="s">
        <v>72</v>
      </c>
      <c r="N608" s="13" t="s">
        <v>77</v>
      </c>
      <c r="O608" s="13" t="s">
        <v>348</v>
      </c>
      <c r="P608" s="13" t="s">
        <v>76</v>
      </c>
      <c r="Q608" s="55" t="s">
        <v>69</v>
      </c>
      <c r="R608" s="13" t="s">
        <v>73</v>
      </c>
      <c r="S608" s="14">
        <v>0</v>
      </c>
      <c r="T608" s="14"/>
      <c r="U608" s="14"/>
      <c r="V608" s="14">
        <f>SUM(Matiere_premiere[[#This Row],[INVENTAIRE]],-Matiere_premiere[[#This Row],[Entrée]],-Matiere_premiere[[#This Row],[Sortis]])</f>
        <v>0</v>
      </c>
      <c r="W608" s="50" t="str">
        <f>CONCATENATE(Matiere_premiere[[#This Row],[CODE COLEUR]],"_",Matiere_premiere[[#This Row],[COULEUR]],"_",Matiere_premiere[[#This Row],[CODE FAB]],"_",Matiere_premiere[[#This Row],[Num de Lot]])</f>
        <v>CLuAr_LUREX ARGENT_LuAr_S2023</v>
      </c>
    </row>
    <row r="609" spans="1:23" ht="19.7" customHeight="1" thickBot="1" x14ac:dyDescent="0.3">
      <c r="A609" s="69"/>
      <c r="B609" s="72"/>
      <c r="C609" s="72"/>
      <c r="D609" s="75"/>
      <c r="E609" s="77"/>
      <c r="F609" s="79"/>
      <c r="G609" s="75"/>
      <c r="H609" s="77"/>
      <c r="I609" s="81"/>
      <c r="J609" s="10" t="str">
        <f>Matiere_premiere[[#This Row],[Entrepot]]</f>
        <v>Usine</v>
      </c>
      <c r="K609" s="9" t="b">
        <f>IF(Matiere_premiere[[#This Row],[INVENTAIRE]]&gt;0,TRUE,FALSE)</f>
        <v>1</v>
      </c>
      <c r="L609" s="66"/>
      <c r="M609" s="13" t="s">
        <v>72</v>
      </c>
      <c r="N609" s="13" t="s">
        <v>77</v>
      </c>
      <c r="O609" s="13" t="s">
        <v>348</v>
      </c>
      <c r="P609" s="13" t="s">
        <v>76</v>
      </c>
      <c r="Q609" s="55" t="s">
        <v>69</v>
      </c>
      <c r="R609" s="13" t="s">
        <v>68</v>
      </c>
      <c r="S609" s="14">
        <v>52</v>
      </c>
      <c r="T609" s="14"/>
      <c r="U609" s="14"/>
      <c r="V609" s="14">
        <f>SUM(Matiere_premiere[[#This Row],[INVENTAIRE]],-Matiere_premiere[[#This Row],[Entrée]],-Matiere_premiere[[#This Row],[Sortis]])</f>
        <v>52</v>
      </c>
      <c r="W609" s="50" t="str">
        <f>CONCATENATE(Matiere_premiere[[#This Row],[CODE COLEUR]],"_",Matiere_premiere[[#This Row],[COULEUR]],"_",Matiere_premiere[[#This Row],[CODE FAB]],"_",Matiere_premiere[[#This Row],[Num de Lot]])</f>
        <v>CLuAr_LUREX ARGENT_LuAr_S2023</v>
      </c>
    </row>
    <row r="610" spans="1:23" ht="19.7" customHeight="1" thickTop="1" thickBot="1" x14ac:dyDescent="0.3">
      <c r="A610" s="67" t="str">
        <f>Matiere_premiere[[#This Row],[NUMERO METRIQUE]]</f>
        <v>NM50</v>
      </c>
      <c r="B610" s="70" t="str">
        <f>Matiere_premiere[[#This Row],[COULEUR]]</f>
        <v>LUREX DORE</v>
      </c>
      <c r="C610" s="70" t="str">
        <f>Matiere_premiere[[#This Row],[CODE COLEUR]]</f>
        <v>CLuDo</v>
      </c>
      <c r="D610" s="73" t="str">
        <f>Matiere_premiere[[#This Row],[CODE FAB]]</f>
        <v>LuDo</v>
      </c>
      <c r="E610" s="76" t="e" vm="221">
        <f>_xlfn.IMAGE("https://api.qrserver.com/v1/create-qr-code/?size=100x100&amp;data=" &amp; D610)</f>
        <v>#VALUE!</v>
      </c>
      <c r="F610" s="78"/>
      <c r="G610" s="73" t="str">
        <f>Matiere_premiere[[#This Row],[Num de Lot]]</f>
        <v>S2023</v>
      </c>
      <c r="H610" s="76" t="e" vm="2">
        <f>_xlfn.IMAGE("https://api.qrserver.com/v1/create-qr-code/?size=100x100&amp;data=" &amp; G610)</f>
        <v>#VALUE!</v>
      </c>
      <c r="I610" s="80"/>
      <c r="J610" s="12" t="str">
        <f>Matiere_premiere[[#This Row],[Entrepot]]</f>
        <v>E1</v>
      </c>
      <c r="K610" s="9" t="b">
        <f>IF(Matiere_premiere[[#This Row],[INVENTAIRE]]&gt;0,TRUE,FALSE)</f>
        <v>0</v>
      </c>
      <c r="L610" s="65"/>
      <c r="M610" s="8" t="s">
        <v>72</v>
      </c>
      <c r="N610" s="8" t="s">
        <v>71</v>
      </c>
      <c r="O610" s="8" t="s">
        <v>349</v>
      </c>
      <c r="P610" s="8" t="s">
        <v>70</v>
      </c>
      <c r="Q610" s="53" t="s">
        <v>69</v>
      </c>
      <c r="R610" s="8" t="s">
        <v>75</v>
      </c>
      <c r="S610" s="7">
        <v>0</v>
      </c>
      <c r="T610" s="7"/>
      <c r="U610" s="7"/>
      <c r="V610" s="7">
        <f>SUM(Matiere_premiere[[#This Row],[INVENTAIRE]],-Matiere_premiere[[#This Row],[Entrée]],-Matiere_premiere[[#This Row],[Sortis]])</f>
        <v>0</v>
      </c>
      <c r="W610" s="50" t="str">
        <f>CONCATENATE(Matiere_premiere[[#This Row],[CODE COLEUR]],"_",Matiere_premiere[[#This Row],[COULEUR]],"_",Matiere_premiere[[#This Row],[CODE FAB]],"_",Matiere_premiere[[#This Row],[Num de Lot]])</f>
        <v>CLuDo_LUREX DORE_LuDo_S2023</v>
      </c>
    </row>
    <row r="611" spans="1:23" ht="19.7" customHeight="1" thickBot="1" x14ac:dyDescent="0.3">
      <c r="A611" s="68"/>
      <c r="B611" s="71"/>
      <c r="C611" s="71"/>
      <c r="D611" s="74"/>
      <c r="E611" s="76"/>
      <c r="F611" s="78"/>
      <c r="G611" s="74"/>
      <c r="H611" s="76"/>
      <c r="I611" s="80"/>
      <c r="J611" s="11" t="str">
        <f>Matiere_premiere[[#This Row],[Entrepot]]</f>
        <v>E2</v>
      </c>
      <c r="K611" s="9" t="b">
        <f>IF(Matiere_premiere[[#This Row],[INVENTAIRE]]&gt;0,TRUE,FALSE)</f>
        <v>0</v>
      </c>
      <c r="L611" s="65"/>
      <c r="M611" s="8" t="s">
        <v>72</v>
      </c>
      <c r="N611" s="8" t="s">
        <v>71</v>
      </c>
      <c r="O611" s="8" t="s">
        <v>349</v>
      </c>
      <c r="P611" s="8" t="s">
        <v>70</v>
      </c>
      <c r="Q611" s="53" t="s">
        <v>69</v>
      </c>
      <c r="R611" s="8" t="s">
        <v>74</v>
      </c>
      <c r="S611" s="7">
        <v>0</v>
      </c>
      <c r="T611" s="7"/>
      <c r="U611" s="7"/>
      <c r="V611" s="7">
        <f>SUM(Matiere_premiere[[#This Row],[INVENTAIRE]],-Matiere_premiere[[#This Row],[Entrée]],-Matiere_premiere[[#This Row],[Sortis]])</f>
        <v>0</v>
      </c>
      <c r="W611" s="50" t="str">
        <f>CONCATENATE(Matiere_premiere[[#This Row],[CODE COLEUR]],"_",Matiere_premiere[[#This Row],[COULEUR]],"_",Matiere_premiere[[#This Row],[CODE FAB]],"_",Matiere_premiere[[#This Row],[Num de Lot]])</f>
        <v>CLuDo_LUREX DORE_LuDo_S2023</v>
      </c>
    </row>
    <row r="612" spans="1:23" ht="19.7" customHeight="1" thickBot="1" x14ac:dyDescent="0.3">
      <c r="A612" s="68"/>
      <c r="B612" s="71"/>
      <c r="C612" s="71"/>
      <c r="D612" s="74"/>
      <c r="E612" s="76"/>
      <c r="F612" s="78"/>
      <c r="G612" s="74"/>
      <c r="H612" s="76"/>
      <c r="I612" s="80"/>
      <c r="J612" s="11" t="str">
        <f>Matiere_premiere[[#This Row],[Entrepot]]</f>
        <v>E3</v>
      </c>
      <c r="K612" s="9" t="b">
        <f>IF(Matiere_premiere[[#This Row],[INVENTAIRE]]&gt;0,TRUE,FALSE)</f>
        <v>0</v>
      </c>
      <c r="L612" s="65"/>
      <c r="M612" s="8" t="s">
        <v>72</v>
      </c>
      <c r="N612" s="8" t="s">
        <v>71</v>
      </c>
      <c r="O612" s="8" t="s">
        <v>349</v>
      </c>
      <c r="P612" s="8" t="s">
        <v>70</v>
      </c>
      <c r="Q612" s="53" t="s">
        <v>69</v>
      </c>
      <c r="R612" s="8" t="s">
        <v>73</v>
      </c>
      <c r="S612" s="7">
        <v>0</v>
      </c>
      <c r="T612" s="7"/>
      <c r="U612" s="7"/>
      <c r="V612" s="7">
        <f>SUM(Matiere_premiere[[#This Row],[INVENTAIRE]],-Matiere_premiere[[#This Row],[Entrée]],-Matiere_premiere[[#This Row],[Sortis]])</f>
        <v>0</v>
      </c>
      <c r="W612" s="50" t="str">
        <f>CONCATENATE(Matiere_premiere[[#This Row],[CODE COLEUR]],"_",Matiere_premiere[[#This Row],[COULEUR]],"_",Matiere_premiere[[#This Row],[CODE FAB]],"_",Matiere_premiere[[#This Row],[Num de Lot]])</f>
        <v>CLuDo_LUREX DORE_LuDo_S2023</v>
      </c>
    </row>
    <row r="613" spans="1:23" ht="19.7" customHeight="1" thickBot="1" x14ac:dyDescent="0.3">
      <c r="A613" s="69"/>
      <c r="B613" s="72"/>
      <c r="C613" s="72"/>
      <c r="D613" s="75"/>
      <c r="E613" s="77"/>
      <c r="F613" s="79"/>
      <c r="G613" s="75"/>
      <c r="H613" s="77"/>
      <c r="I613" s="81"/>
      <c r="J613" s="10" t="str">
        <f>Matiere_premiere[[#This Row],[Entrepot]]</f>
        <v>Usine</v>
      </c>
      <c r="K613" s="9" t="b">
        <f>IF(Matiere_premiere[[#This Row],[INVENTAIRE]]&gt;0,TRUE,FALSE)</f>
        <v>1</v>
      </c>
      <c r="L613" s="66"/>
      <c r="M613" s="8" t="s">
        <v>72</v>
      </c>
      <c r="N613" s="8" t="s">
        <v>71</v>
      </c>
      <c r="O613" s="8" t="s">
        <v>349</v>
      </c>
      <c r="P613" s="8" t="s">
        <v>70</v>
      </c>
      <c r="Q613" s="53" t="s">
        <v>69</v>
      </c>
      <c r="R613" s="8" t="s">
        <v>68</v>
      </c>
      <c r="S613" s="7">
        <v>46</v>
      </c>
      <c r="T613" s="7"/>
      <c r="U613" s="49"/>
      <c r="V613" s="49">
        <f>SUM(Matiere_premiere[[#This Row],[INVENTAIRE]],-Matiere_premiere[[#This Row],[Entrée]],-Matiere_premiere[[#This Row],[Sortis]])</f>
        <v>46</v>
      </c>
      <c r="W613" s="50" t="str">
        <f>CONCATENATE(Matiere_premiere[[#This Row],[CODE COLEUR]],"_",Matiere_premiere[[#This Row],[COULEUR]],"_",Matiere_premiere[[#This Row],[CODE FAB]],"_",Matiere_premiere[[#This Row],[Num de Lot]])</f>
        <v>CLuDo_LUREX DORE_LuDo_S2023</v>
      </c>
    </row>
    <row r="614" spans="1:23" ht="19.5" customHeight="1" thickTop="1" thickBot="1" x14ac:dyDescent="0.3">
      <c r="A614" s="67" t="str">
        <f>Matiere_premiere[[#This Row],[NUMERO METRIQUE]]</f>
        <v>NM2/50</v>
      </c>
      <c r="B614" s="70" t="str">
        <f>Matiere_premiere[[#This Row],[COULEUR]]</f>
        <v>Blanc</v>
      </c>
      <c r="C614" s="70" t="str">
        <f>Matiere_premiere[[#This Row],[CODE COLEUR]]</f>
        <v>CH</v>
      </c>
      <c r="D614" s="73" t="str">
        <f>Matiere_premiere[[#This Row],[CODE FAB]]</f>
        <v>CH2/50VB</v>
      </c>
      <c r="E614" s="76" t="e" vm="222">
        <f>_xlfn.IMAGE("https://api.qrserver.com/v1/create-qr-code/?size=100x100&amp;data=" &amp; D614)</f>
        <v>#VALUE!</v>
      </c>
      <c r="F614" s="78"/>
      <c r="G614" s="73">
        <f>Matiere_premiere[[#This Row],[Num de Lot]]</f>
        <v>18950002</v>
      </c>
      <c r="H614" s="76" t="e" vm="223">
        <f>_xlfn.IMAGE("https://api.qrserver.com/v1/create-qr-code/?size=100x100&amp;data=" &amp; G614)</f>
        <v>#VALUE!</v>
      </c>
      <c r="I614" s="80"/>
      <c r="J614" s="12" t="str">
        <f>Matiere_premiere[[#This Row],[Entrepot]]</f>
        <v>E1</v>
      </c>
      <c r="K614" s="9" t="b">
        <f>IF(Matiere_premiere[[#This Row],[INVENTAIRE]]&gt;0,TRUE,FALSE)</f>
        <v>1</v>
      </c>
      <c r="L614" s="65"/>
      <c r="M614" s="35" t="s">
        <v>93</v>
      </c>
      <c r="N614" s="36" t="s">
        <v>327</v>
      </c>
      <c r="O614" s="36" t="s">
        <v>91</v>
      </c>
      <c r="P614" s="37" t="s">
        <v>328</v>
      </c>
      <c r="Q614" s="58">
        <v>18950002</v>
      </c>
      <c r="R614" s="13" t="s">
        <v>75</v>
      </c>
      <c r="S614" s="14">
        <v>286.10000000000002</v>
      </c>
      <c r="T614" s="17"/>
      <c r="U614" s="17"/>
      <c r="V614" s="17">
        <f>SUM(Matiere_premiere[[#This Row],[INVENTAIRE]],-Matiere_premiere[[#This Row],[Entrée]],-Matiere_premiere[[#This Row],[Sortis]])</f>
        <v>286.10000000000002</v>
      </c>
      <c r="W614" s="50" t="str">
        <f>CONCATENATE(Matiere_premiere[[#This Row],[CODE COLEUR]],"_",Matiere_premiere[[#This Row],[COULEUR]],"_",Matiere_premiere[[#This Row],[CODE FAB]],"_",Matiere_premiere[[#This Row],[Num de Lot]])</f>
        <v>CH_Blanc_CH2/50VB_18950002</v>
      </c>
    </row>
    <row r="615" spans="1:23" ht="19.5" customHeight="1" thickBot="1" x14ac:dyDescent="0.3">
      <c r="A615" s="68"/>
      <c r="B615" s="71"/>
      <c r="C615" s="71"/>
      <c r="D615" s="74"/>
      <c r="E615" s="76"/>
      <c r="F615" s="78"/>
      <c r="G615" s="74"/>
      <c r="H615" s="76"/>
      <c r="I615" s="80"/>
      <c r="J615" s="11" t="str">
        <f>Matiere_premiere[[#This Row],[Entrepot]]</f>
        <v>E2</v>
      </c>
      <c r="K615" s="9" t="b">
        <f>IF(Matiere_premiere[[#This Row],[INVENTAIRE]]&gt;0,TRUE,FALSE)</f>
        <v>0</v>
      </c>
      <c r="L615" s="65"/>
      <c r="M615" s="35" t="s">
        <v>93</v>
      </c>
      <c r="N615" s="36" t="s">
        <v>327</v>
      </c>
      <c r="O615" s="36" t="s">
        <v>91</v>
      </c>
      <c r="P615" s="37" t="s">
        <v>328</v>
      </c>
      <c r="Q615" s="58">
        <v>18950002</v>
      </c>
      <c r="R615" s="13" t="s">
        <v>74</v>
      </c>
      <c r="S615" s="14">
        <v>0</v>
      </c>
      <c r="T615" s="14"/>
      <c r="U615" s="14"/>
      <c r="V615" s="14">
        <f>SUM(Matiere_premiere[[#This Row],[INVENTAIRE]],-Matiere_premiere[[#This Row],[Entrée]],-Matiere_premiere[[#This Row],[Sortis]])</f>
        <v>0</v>
      </c>
      <c r="W615" s="50" t="str">
        <f>CONCATENATE(Matiere_premiere[[#This Row],[CODE COLEUR]],"_",Matiere_premiere[[#This Row],[COULEUR]],"_",Matiere_premiere[[#This Row],[CODE FAB]],"_",Matiere_premiere[[#This Row],[Num de Lot]])</f>
        <v>CH_Blanc_CH2/50VB_18950002</v>
      </c>
    </row>
    <row r="616" spans="1:23" ht="19.5" customHeight="1" thickBot="1" x14ac:dyDescent="0.3">
      <c r="A616" s="68"/>
      <c r="B616" s="71"/>
      <c r="C616" s="71"/>
      <c r="D616" s="74"/>
      <c r="E616" s="76"/>
      <c r="F616" s="78"/>
      <c r="G616" s="74"/>
      <c r="H616" s="76"/>
      <c r="I616" s="80"/>
      <c r="J616" s="11" t="str">
        <f>Matiere_premiere[[#This Row],[Entrepot]]</f>
        <v>E3</v>
      </c>
      <c r="K616" s="9" t="b">
        <f>IF(Matiere_premiere[[#This Row],[INVENTAIRE]]&gt;0,TRUE,FALSE)</f>
        <v>0</v>
      </c>
      <c r="L616" s="65"/>
      <c r="M616" s="35" t="s">
        <v>93</v>
      </c>
      <c r="N616" s="36" t="s">
        <v>327</v>
      </c>
      <c r="O616" s="36" t="s">
        <v>91</v>
      </c>
      <c r="P616" s="37" t="s">
        <v>328</v>
      </c>
      <c r="Q616" s="58">
        <v>18950002</v>
      </c>
      <c r="R616" s="13" t="s">
        <v>73</v>
      </c>
      <c r="S616" s="14">
        <v>0</v>
      </c>
      <c r="T616" s="14"/>
      <c r="U616" s="14"/>
      <c r="V616" s="14">
        <f>SUM(Matiere_premiere[[#This Row],[INVENTAIRE]],-Matiere_premiere[[#This Row],[Entrée]],-Matiere_premiere[[#This Row],[Sortis]])</f>
        <v>0</v>
      </c>
      <c r="W616" s="50" t="str">
        <f>CONCATENATE(Matiere_premiere[[#This Row],[CODE COLEUR]],"_",Matiere_premiere[[#This Row],[COULEUR]],"_",Matiere_premiere[[#This Row],[CODE FAB]],"_",Matiere_premiere[[#This Row],[Num de Lot]])</f>
        <v>CH_Blanc_CH2/50VB_18950002</v>
      </c>
    </row>
    <row r="617" spans="1:23" ht="19.5" customHeight="1" thickBot="1" x14ac:dyDescent="0.3">
      <c r="A617" s="69"/>
      <c r="B617" s="72"/>
      <c r="C617" s="72"/>
      <c r="D617" s="75"/>
      <c r="E617" s="77"/>
      <c r="F617" s="79"/>
      <c r="G617" s="75"/>
      <c r="H617" s="77"/>
      <c r="I617" s="81"/>
      <c r="J617" s="10" t="str">
        <f>Matiere_premiere[[#This Row],[Entrepot]]</f>
        <v>Usine</v>
      </c>
      <c r="K617" s="9" t="b">
        <f>IF(Matiere_premiere[[#This Row],[INVENTAIRE]]&gt;0,TRUE,FALSE)</f>
        <v>0</v>
      </c>
      <c r="L617" s="66"/>
      <c r="M617" s="35" t="s">
        <v>93</v>
      </c>
      <c r="N617" s="36" t="s">
        <v>327</v>
      </c>
      <c r="O617" s="36" t="s">
        <v>91</v>
      </c>
      <c r="P617" s="37" t="s">
        <v>328</v>
      </c>
      <c r="Q617" s="58">
        <v>18950002</v>
      </c>
      <c r="R617" s="13" t="s">
        <v>68</v>
      </c>
      <c r="S617" s="14">
        <v>0</v>
      </c>
      <c r="T617" s="14"/>
      <c r="U617" s="14"/>
      <c r="V617" s="14">
        <f>SUM(Matiere_premiere[[#This Row],[INVENTAIRE]],-Matiere_premiere[[#This Row],[Entrée]],-Matiere_premiere[[#This Row],[Sortis]])</f>
        <v>0</v>
      </c>
      <c r="W617" s="52" t="str">
        <f>CONCATENATE(Matiere_premiere[[#This Row],[CODE COLEUR]],"_",Matiere_premiere[[#This Row],[COULEUR]],"_",Matiere_premiere[[#This Row],[CODE FAB]],"_",Matiere_premiere[[#This Row],[Num de Lot]])</f>
        <v>CH_Blanc_CH2/50VB_18950002</v>
      </c>
    </row>
    <row r="618" spans="1:23" ht="28.35" customHeight="1" thickTop="1" x14ac:dyDescent="0.25"/>
    <row r="619" spans="1:23" ht="28.35" customHeight="1" x14ac:dyDescent="0.25"/>
    <row r="620" spans="1:23" ht="28.35" customHeight="1" x14ac:dyDescent="0.25"/>
    <row r="621" spans="1:23" ht="28.35" customHeight="1" x14ac:dyDescent="0.25"/>
    <row r="622" spans="1:23" ht="28.35" customHeight="1" x14ac:dyDescent="0.25"/>
    <row r="623" spans="1:23" ht="28.35" customHeight="1" x14ac:dyDescent="0.25"/>
    <row r="624" spans="1:23" ht="28.35" customHeight="1" x14ac:dyDescent="0.25"/>
    <row r="625" ht="28.35" customHeight="1" x14ac:dyDescent="0.25"/>
    <row r="626" ht="28.35" customHeight="1" x14ac:dyDescent="0.25"/>
    <row r="627" ht="28.35" customHeight="1" x14ac:dyDescent="0.25"/>
    <row r="628" ht="28.35" customHeight="1" x14ac:dyDescent="0.25"/>
    <row r="629" ht="28.35" customHeight="1" x14ac:dyDescent="0.25"/>
  </sheetData>
  <mergeCells count="1541">
    <mergeCell ref="L46:L49"/>
    <mergeCell ref="A50:A53"/>
    <mergeCell ref="B50:B53"/>
    <mergeCell ref="C50:C53"/>
    <mergeCell ref="A58:A61"/>
    <mergeCell ref="B58:B61"/>
    <mergeCell ref="C58:C61"/>
    <mergeCell ref="D58:D61"/>
    <mergeCell ref="E58:E61"/>
    <mergeCell ref="F58:F61"/>
    <mergeCell ref="A82:A85"/>
    <mergeCell ref="B82:B85"/>
    <mergeCell ref="C82:C85"/>
    <mergeCell ref="D82:D85"/>
    <mergeCell ref="A46:A49"/>
    <mergeCell ref="B46:B49"/>
    <mergeCell ref="C46:C49"/>
    <mergeCell ref="D46:D49"/>
    <mergeCell ref="I54:I57"/>
    <mergeCell ref="L54:L57"/>
    <mergeCell ref="E66:E69"/>
    <mergeCell ref="F66:F69"/>
    <mergeCell ref="G66:G69"/>
    <mergeCell ref="H66:H69"/>
    <mergeCell ref="I66:I69"/>
    <mergeCell ref="L66:L69"/>
    <mergeCell ref="G58:G61"/>
    <mergeCell ref="H58:H61"/>
    <mergeCell ref="I50:I53"/>
    <mergeCell ref="L50:L53"/>
    <mergeCell ref="A54:A57"/>
    <mergeCell ref="B54:B57"/>
    <mergeCell ref="L18:L21"/>
    <mergeCell ref="A74:A77"/>
    <mergeCell ref="B74:B77"/>
    <mergeCell ref="C74:C77"/>
    <mergeCell ref="D74:D77"/>
    <mergeCell ref="E46:E49"/>
    <mergeCell ref="G46:G49"/>
    <mergeCell ref="H46:H49"/>
    <mergeCell ref="I46:I49"/>
    <mergeCell ref="I6:I9"/>
    <mergeCell ref="L6:L9"/>
    <mergeCell ref="A10:A13"/>
    <mergeCell ref="B10:B13"/>
    <mergeCell ref="C10:C13"/>
    <mergeCell ref="L10:L13"/>
    <mergeCell ref="A18:A21"/>
    <mergeCell ref="B18:B21"/>
    <mergeCell ref="C18:C21"/>
    <mergeCell ref="D18:D21"/>
    <mergeCell ref="A6:A9"/>
    <mergeCell ref="B6:B9"/>
    <mergeCell ref="C6:C9"/>
    <mergeCell ref="D6:D9"/>
    <mergeCell ref="A38:A41"/>
    <mergeCell ref="B38:B41"/>
    <mergeCell ref="C38:C41"/>
    <mergeCell ref="D38:D41"/>
    <mergeCell ref="I18:I21"/>
    <mergeCell ref="E22:E25"/>
    <mergeCell ref="F22:F25"/>
    <mergeCell ref="G22:G25"/>
    <mergeCell ref="F46:F49"/>
    <mergeCell ref="F2:F5"/>
    <mergeCell ref="I2:I5"/>
    <mergeCell ref="A14:A17"/>
    <mergeCell ref="B14:B17"/>
    <mergeCell ref="C14:C17"/>
    <mergeCell ref="D14:D17"/>
    <mergeCell ref="E6:E9"/>
    <mergeCell ref="F6:F9"/>
    <mergeCell ref="G6:G9"/>
    <mergeCell ref="H6:H9"/>
    <mergeCell ref="J1:K1"/>
    <mergeCell ref="B2:B5"/>
    <mergeCell ref="A2:A5"/>
    <mergeCell ref="D10:D13"/>
    <mergeCell ref="L2:L5"/>
    <mergeCell ref="H2:H5"/>
    <mergeCell ref="E2:E5"/>
    <mergeCell ref="G2:G5"/>
    <mergeCell ref="D2:D5"/>
    <mergeCell ref="C2:C5"/>
    <mergeCell ref="L14:L17"/>
    <mergeCell ref="E18:E21"/>
    <mergeCell ref="F18:F21"/>
    <mergeCell ref="G18:G21"/>
    <mergeCell ref="E30:E33"/>
    <mergeCell ref="G30:G33"/>
    <mergeCell ref="H30:H33"/>
    <mergeCell ref="H18:H21"/>
    <mergeCell ref="E10:E13"/>
    <mergeCell ref="F10:F13"/>
    <mergeCell ref="G10:G13"/>
    <mergeCell ref="H10:H13"/>
    <mergeCell ref="I10:I13"/>
    <mergeCell ref="E14:E17"/>
    <mergeCell ref="F14:F17"/>
    <mergeCell ref="G14:G17"/>
    <mergeCell ref="H14:H17"/>
    <mergeCell ref="I14:I17"/>
    <mergeCell ref="F26:F29"/>
    <mergeCell ref="G26:G29"/>
    <mergeCell ref="H26:H29"/>
    <mergeCell ref="I26:I29"/>
    <mergeCell ref="L26:L29"/>
    <mergeCell ref="A22:A25"/>
    <mergeCell ref="B22:B25"/>
    <mergeCell ref="C22:C25"/>
    <mergeCell ref="D22:D25"/>
    <mergeCell ref="A30:A33"/>
    <mergeCell ref="B30:B33"/>
    <mergeCell ref="C30:C33"/>
    <mergeCell ref="D30:D33"/>
    <mergeCell ref="L22:L25"/>
    <mergeCell ref="A26:A29"/>
    <mergeCell ref="B26:B29"/>
    <mergeCell ref="C26:C29"/>
    <mergeCell ref="D26:D29"/>
    <mergeCell ref="E26:E29"/>
    <mergeCell ref="I34:I37"/>
    <mergeCell ref="L34:L37"/>
    <mergeCell ref="F30:F33"/>
    <mergeCell ref="H22:H25"/>
    <mergeCell ref="I22:I25"/>
    <mergeCell ref="F38:F41"/>
    <mergeCell ref="E38:E41"/>
    <mergeCell ref="G38:G41"/>
    <mergeCell ref="H38:H41"/>
    <mergeCell ref="I38:I41"/>
    <mergeCell ref="I30:I33"/>
    <mergeCell ref="L42:L45"/>
    <mergeCell ref="L30:L33"/>
    <mergeCell ref="A34:A37"/>
    <mergeCell ref="B34:B37"/>
    <mergeCell ref="C34:C37"/>
    <mergeCell ref="D34:D37"/>
    <mergeCell ref="E34:E37"/>
    <mergeCell ref="F34:F37"/>
    <mergeCell ref="G34:G37"/>
    <mergeCell ref="H34:H37"/>
    <mergeCell ref="L38:L41"/>
    <mergeCell ref="A42:A45"/>
    <mergeCell ref="B42:B45"/>
    <mergeCell ref="C42:C45"/>
    <mergeCell ref="D42:D45"/>
    <mergeCell ref="E42:E45"/>
    <mergeCell ref="F42:F45"/>
    <mergeCell ref="G42:G45"/>
    <mergeCell ref="H42:H45"/>
    <mergeCell ref="I42:I45"/>
    <mergeCell ref="C54:C57"/>
    <mergeCell ref="D54:D57"/>
    <mergeCell ref="E54:E57"/>
    <mergeCell ref="F54:F57"/>
    <mergeCell ref="G54:G57"/>
    <mergeCell ref="H54:H57"/>
    <mergeCell ref="A66:A69"/>
    <mergeCell ref="B66:B69"/>
    <mergeCell ref="C66:C69"/>
    <mergeCell ref="D66:D69"/>
    <mergeCell ref="G50:G53"/>
    <mergeCell ref="H50:H53"/>
    <mergeCell ref="A62:A65"/>
    <mergeCell ref="B62:B65"/>
    <mergeCell ref="C62:C65"/>
    <mergeCell ref="D62:D65"/>
    <mergeCell ref="E62:E65"/>
    <mergeCell ref="F62:F65"/>
    <mergeCell ref="D50:D53"/>
    <mergeCell ref="E50:E53"/>
    <mergeCell ref="F50:F53"/>
    <mergeCell ref="G70:G73"/>
    <mergeCell ref="H70:H73"/>
    <mergeCell ref="I70:I73"/>
    <mergeCell ref="L70:L73"/>
    <mergeCell ref="I58:I61"/>
    <mergeCell ref="L58:L61"/>
    <mergeCell ref="G62:G65"/>
    <mergeCell ref="H62:H65"/>
    <mergeCell ref="I62:I65"/>
    <mergeCell ref="L62:L65"/>
    <mergeCell ref="G78:G81"/>
    <mergeCell ref="H78:H81"/>
    <mergeCell ref="I78:I81"/>
    <mergeCell ref="L78:L81"/>
    <mergeCell ref="A70:A73"/>
    <mergeCell ref="B70:B73"/>
    <mergeCell ref="C70:C73"/>
    <mergeCell ref="D70:D73"/>
    <mergeCell ref="E70:E73"/>
    <mergeCell ref="F70:F73"/>
    <mergeCell ref="A78:A81"/>
    <mergeCell ref="B78:B81"/>
    <mergeCell ref="C78:C81"/>
    <mergeCell ref="D78:D81"/>
    <mergeCell ref="E78:E81"/>
    <mergeCell ref="F78:F81"/>
    <mergeCell ref="G86:G89"/>
    <mergeCell ref="H86:H89"/>
    <mergeCell ref="I86:I89"/>
    <mergeCell ref="L86:L89"/>
    <mergeCell ref="E74:E77"/>
    <mergeCell ref="F74:F77"/>
    <mergeCell ref="G74:G77"/>
    <mergeCell ref="H74:H77"/>
    <mergeCell ref="I74:I77"/>
    <mergeCell ref="L74:L77"/>
    <mergeCell ref="A86:A89"/>
    <mergeCell ref="B86:B89"/>
    <mergeCell ref="C86:C89"/>
    <mergeCell ref="D86:D89"/>
    <mergeCell ref="E86:E89"/>
    <mergeCell ref="F86:F89"/>
    <mergeCell ref="E82:E85"/>
    <mergeCell ref="F82:F85"/>
    <mergeCell ref="G82:G85"/>
    <mergeCell ref="H82:H85"/>
    <mergeCell ref="I82:I85"/>
    <mergeCell ref="L82:L85"/>
    <mergeCell ref="L94:L97"/>
    <mergeCell ref="A90:A93"/>
    <mergeCell ref="B90:B93"/>
    <mergeCell ref="C90:C93"/>
    <mergeCell ref="D90:D93"/>
    <mergeCell ref="E90:E93"/>
    <mergeCell ref="F90:F93"/>
    <mergeCell ref="G90:G93"/>
    <mergeCell ref="H90:H93"/>
    <mergeCell ref="I90:I93"/>
    <mergeCell ref="L90:L93"/>
    <mergeCell ref="A94:A97"/>
    <mergeCell ref="B94:B97"/>
    <mergeCell ref="C94:C97"/>
    <mergeCell ref="D94:D97"/>
    <mergeCell ref="E94:E97"/>
    <mergeCell ref="F94:F97"/>
    <mergeCell ref="G94:G97"/>
    <mergeCell ref="H94:H97"/>
    <mergeCell ref="I94:I97"/>
    <mergeCell ref="L102:L105"/>
    <mergeCell ref="A98:A101"/>
    <mergeCell ref="B98:B101"/>
    <mergeCell ref="C98:C101"/>
    <mergeCell ref="D98:D101"/>
    <mergeCell ref="E98:E101"/>
    <mergeCell ref="F98:F101"/>
    <mergeCell ref="G98:G101"/>
    <mergeCell ref="H98:H101"/>
    <mergeCell ref="I98:I101"/>
    <mergeCell ref="L98:L101"/>
    <mergeCell ref="A102:A105"/>
    <mergeCell ref="B102:B105"/>
    <mergeCell ref="C102:C105"/>
    <mergeCell ref="D102:D105"/>
    <mergeCell ref="E102:E105"/>
    <mergeCell ref="F102:F105"/>
    <mergeCell ref="G102:G105"/>
    <mergeCell ref="H102:H105"/>
    <mergeCell ref="I102:I105"/>
    <mergeCell ref="L110:L113"/>
    <mergeCell ref="A106:A109"/>
    <mergeCell ref="B106:B109"/>
    <mergeCell ref="C106:C109"/>
    <mergeCell ref="D106:D109"/>
    <mergeCell ref="E106:E109"/>
    <mergeCell ref="F106:F109"/>
    <mergeCell ref="G106:G109"/>
    <mergeCell ref="H106:H109"/>
    <mergeCell ref="I106:I109"/>
    <mergeCell ref="L106:L109"/>
    <mergeCell ref="A110:A113"/>
    <mergeCell ref="B110:B113"/>
    <mergeCell ref="C110:C113"/>
    <mergeCell ref="D110:D113"/>
    <mergeCell ref="E110:E113"/>
    <mergeCell ref="F110:F113"/>
    <mergeCell ref="G110:G113"/>
    <mergeCell ref="H110:H113"/>
    <mergeCell ref="I110:I113"/>
    <mergeCell ref="L118:L121"/>
    <mergeCell ref="A114:A117"/>
    <mergeCell ref="B114:B117"/>
    <mergeCell ref="C114:C117"/>
    <mergeCell ref="D114:D117"/>
    <mergeCell ref="E114:E117"/>
    <mergeCell ref="F114:F117"/>
    <mergeCell ref="G114:G117"/>
    <mergeCell ref="H114:H117"/>
    <mergeCell ref="I114:I117"/>
    <mergeCell ref="L114:L117"/>
    <mergeCell ref="A118:A121"/>
    <mergeCell ref="B118:B121"/>
    <mergeCell ref="C118:C121"/>
    <mergeCell ref="D118:D121"/>
    <mergeCell ref="E118:E121"/>
    <mergeCell ref="F118:F121"/>
    <mergeCell ref="G118:G121"/>
    <mergeCell ref="H118:H121"/>
    <mergeCell ref="I118:I121"/>
    <mergeCell ref="L126:L129"/>
    <mergeCell ref="A122:A125"/>
    <mergeCell ref="B122:B125"/>
    <mergeCell ref="C122:C125"/>
    <mergeCell ref="D122:D125"/>
    <mergeCell ref="E122:E125"/>
    <mergeCell ref="F122:F125"/>
    <mergeCell ref="G122:G125"/>
    <mergeCell ref="H122:H125"/>
    <mergeCell ref="I122:I125"/>
    <mergeCell ref="L122:L125"/>
    <mergeCell ref="A126:A129"/>
    <mergeCell ref="B126:B129"/>
    <mergeCell ref="C126:C129"/>
    <mergeCell ref="D126:D129"/>
    <mergeCell ref="E126:E129"/>
    <mergeCell ref="F126:F129"/>
    <mergeCell ref="G126:G129"/>
    <mergeCell ref="H126:H129"/>
    <mergeCell ref="I126:I129"/>
    <mergeCell ref="L134:L137"/>
    <mergeCell ref="A130:A133"/>
    <mergeCell ref="B130:B133"/>
    <mergeCell ref="C130:C133"/>
    <mergeCell ref="D130:D133"/>
    <mergeCell ref="E130:E133"/>
    <mergeCell ref="F130:F133"/>
    <mergeCell ref="G130:G133"/>
    <mergeCell ref="H130:H133"/>
    <mergeCell ref="I130:I133"/>
    <mergeCell ref="L130:L133"/>
    <mergeCell ref="A134:A137"/>
    <mergeCell ref="B134:B137"/>
    <mergeCell ref="C134:C137"/>
    <mergeCell ref="D134:D137"/>
    <mergeCell ref="E134:E137"/>
    <mergeCell ref="F134:F137"/>
    <mergeCell ref="G134:G137"/>
    <mergeCell ref="H134:H137"/>
    <mergeCell ref="I134:I137"/>
    <mergeCell ref="L142:L145"/>
    <mergeCell ref="A138:A141"/>
    <mergeCell ref="B138:B141"/>
    <mergeCell ref="C138:C141"/>
    <mergeCell ref="D138:D141"/>
    <mergeCell ref="E138:E141"/>
    <mergeCell ref="F138:F141"/>
    <mergeCell ref="G138:G141"/>
    <mergeCell ref="H138:H141"/>
    <mergeCell ref="I138:I141"/>
    <mergeCell ref="L138:L141"/>
    <mergeCell ref="A142:A145"/>
    <mergeCell ref="B142:B145"/>
    <mergeCell ref="C142:C145"/>
    <mergeCell ref="D142:D145"/>
    <mergeCell ref="E142:E145"/>
    <mergeCell ref="F142:F145"/>
    <mergeCell ref="G142:G145"/>
    <mergeCell ref="H142:H145"/>
    <mergeCell ref="I142:I145"/>
    <mergeCell ref="L150:L153"/>
    <mergeCell ref="A146:A149"/>
    <mergeCell ref="B146:B149"/>
    <mergeCell ref="C146:C149"/>
    <mergeCell ref="D146:D149"/>
    <mergeCell ref="E146:E149"/>
    <mergeCell ref="F146:F149"/>
    <mergeCell ref="G146:G149"/>
    <mergeCell ref="H146:H149"/>
    <mergeCell ref="I146:I149"/>
    <mergeCell ref="L146:L149"/>
    <mergeCell ref="A150:A153"/>
    <mergeCell ref="B150:B153"/>
    <mergeCell ref="C150:C153"/>
    <mergeCell ref="D150:D153"/>
    <mergeCell ref="E150:E153"/>
    <mergeCell ref="F150:F153"/>
    <mergeCell ref="G150:G153"/>
    <mergeCell ref="H150:H153"/>
    <mergeCell ref="I150:I153"/>
    <mergeCell ref="L158:L161"/>
    <mergeCell ref="A154:A157"/>
    <mergeCell ref="B154:B157"/>
    <mergeCell ref="C154:C157"/>
    <mergeCell ref="D154:D157"/>
    <mergeCell ref="E154:E157"/>
    <mergeCell ref="F154:F157"/>
    <mergeCell ref="G154:G157"/>
    <mergeCell ref="H154:H157"/>
    <mergeCell ref="I154:I157"/>
    <mergeCell ref="L154:L157"/>
    <mergeCell ref="A158:A161"/>
    <mergeCell ref="B158:B161"/>
    <mergeCell ref="C158:C161"/>
    <mergeCell ref="D158:D161"/>
    <mergeCell ref="E158:E161"/>
    <mergeCell ref="F158:F161"/>
    <mergeCell ref="G158:G161"/>
    <mergeCell ref="H158:H161"/>
    <mergeCell ref="I158:I161"/>
    <mergeCell ref="L166:L169"/>
    <mergeCell ref="A162:A165"/>
    <mergeCell ref="B162:B165"/>
    <mergeCell ref="C162:C165"/>
    <mergeCell ref="D162:D165"/>
    <mergeCell ref="E162:E165"/>
    <mergeCell ref="F162:F165"/>
    <mergeCell ref="G162:G165"/>
    <mergeCell ref="H162:H165"/>
    <mergeCell ref="I162:I165"/>
    <mergeCell ref="L162:L165"/>
    <mergeCell ref="A166:A169"/>
    <mergeCell ref="B166:B169"/>
    <mergeCell ref="C166:C169"/>
    <mergeCell ref="D166:D169"/>
    <mergeCell ref="E166:E169"/>
    <mergeCell ref="F166:F169"/>
    <mergeCell ref="G166:G169"/>
    <mergeCell ref="H166:H169"/>
    <mergeCell ref="I166:I169"/>
    <mergeCell ref="L174:L177"/>
    <mergeCell ref="A170:A173"/>
    <mergeCell ref="B170:B173"/>
    <mergeCell ref="C170:C173"/>
    <mergeCell ref="D170:D173"/>
    <mergeCell ref="E170:E173"/>
    <mergeCell ref="F170:F173"/>
    <mergeCell ref="G170:G173"/>
    <mergeCell ref="H170:H173"/>
    <mergeCell ref="I170:I173"/>
    <mergeCell ref="L170:L173"/>
    <mergeCell ref="A174:A177"/>
    <mergeCell ref="B174:B177"/>
    <mergeCell ref="C174:C177"/>
    <mergeCell ref="D174:D177"/>
    <mergeCell ref="E174:E177"/>
    <mergeCell ref="F174:F177"/>
    <mergeCell ref="G174:G177"/>
    <mergeCell ref="H174:H177"/>
    <mergeCell ref="I174:I177"/>
    <mergeCell ref="L182:L185"/>
    <mergeCell ref="A178:A181"/>
    <mergeCell ref="B178:B181"/>
    <mergeCell ref="C178:C181"/>
    <mergeCell ref="D178:D181"/>
    <mergeCell ref="E178:E181"/>
    <mergeCell ref="F178:F181"/>
    <mergeCell ref="G178:G181"/>
    <mergeCell ref="H178:H181"/>
    <mergeCell ref="I178:I181"/>
    <mergeCell ref="L178:L181"/>
    <mergeCell ref="A182:A185"/>
    <mergeCell ref="B182:B185"/>
    <mergeCell ref="C182:C185"/>
    <mergeCell ref="D182:D185"/>
    <mergeCell ref="E182:E185"/>
    <mergeCell ref="F182:F185"/>
    <mergeCell ref="G182:G185"/>
    <mergeCell ref="H182:H185"/>
    <mergeCell ref="I182:I185"/>
    <mergeCell ref="L190:L193"/>
    <mergeCell ref="A186:A189"/>
    <mergeCell ref="B186:B189"/>
    <mergeCell ref="C186:C189"/>
    <mergeCell ref="D186:D189"/>
    <mergeCell ref="E186:E189"/>
    <mergeCell ref="F186:F189"/>
    <mergeCell ref="G186:G189"/>
    <mergeCell ref="H186:H189"/>
    <mergeCell ref="I186:I189"/>
    <mergeCell ref="L186:L189"/>
    <mergeCell ref="A190:A193"/>
    <mergeCell ref="B190:B193"/>
    <mergeCell ref="C190:C193"/>
    <mergeCell ref="D190:D193"/>
    <mergeCell ref="E190:E193"/>
    <mergeCell ref="F190:F193"/>
    <mergeCell ref="G190:G193"/>
    <mergeCell ref="H190:H193"/>
    <mergeCell ref="I190:I193"/>
    <mergeCell ref="L198:L201"/>
    <mergeCell ref="A194:A197"/>
    <mergeCell ref="B194:B197"/>
    <mergeCell ref="C194:C197"/>
    <mergeCell ref="D194:D197"/>
    <mergeCell ref="E194:E197"/>
    <mergeCell ref="F194:F197"/>
    <mergeCell ref="G194:G197"/>
    <mergeCell ref="H194:H197"/>
    <mergeCell ref="I194:I197"/>
    <mergeCell ref="L194:L197"/>
    <mergeCell ref="A198:A201"/>
    <mergeCell ref="B198:B201"/>
    <mergeCell ref="C198:C201"/>
    <mergeCell ref="D198:D201"/>
    <mergeCell ref="E198:E201"/>
    <mergeCell ref="F198:F201"/>
    <mergeCell ref="G198:G201"/>
    <mergeCell ref="H198:H201"/>
    <mergeCell ref="I198:I201"/>
    <mergeCell ref="L206:L209"/>
    <mergeCell ref="A202:A205"/>
    <mergeCell ref="B202:B205"/>
    <mergeCell ref="C202:C205"/>
    <mergeCell ref="D202:D205"/>
    <mergeCell ref="E202:E205"/>
    <mergeCell ref="F202:F205"/>
    <mergeCell ref="G202:G205"/>
    <mergeCell ref="H202:H205"/>
    <mergeCell ref="I202:I205"/>
    <mergeCell ref="L202:L205"/>
    <mergeCell ref="A206:A209"/>
    <mergeCell ref="B206:B209"/>
    <mergeCell ref="C206:C209"/>
    <mergeCell ref="D206:D209"/>
    <mergeCell ref="E206:E209"/>
    <mergeCell ref="F206:F209"/>
    <mergeCell ref="G206:G209"/>
    <mergeCell ref="H206:H209"/>
    <mergeCell ref="I206:I209"/>
    <mergeCell ref="L214:L217"/>
    <mergeCell ref="A210:A213"/>
    <mergeCell ref="B210:B213"/>
    <mergeCell ref="C210:C213"/>
    <mergeCell ref="D210:D213"/>
    <mergeCell ref="E210:E213"/>
    <mergeCell ref="F210:F213"/>
    <mergeCell ref="G210:G213"/>
    <mergeCell ref="H210:H213"/>
    <mergeCell ref="I210:I213"/>
    <mergeCell ref="L210:L213"/>
    <mergeCell ref="A214:A217"/>
    <mergeCell ref="B214:B217"/>
    <mergeCell ref="C214:C217"/>
    <mergeCell ref="D214:D217"/>
    <mergeCell ref="E214:E217"/>
    <mergeCell ref="F214:F217"/>
    <mergeCell ref="G214:G217"/>
    <mergeCell ref="H214:H217"/>
    <mergeCell ref="I214:I217"/>
    <mergeCell ref="L222:L225"/>
    <mergeCell ref="A218:A221"/>
    <mergeCell ref="B218:B221"/>
    <mergeCell ref="C218:C221"/>
    <mergeCell ref="D218:D221"/>
    <mergeCell ref="E218:E221"/>
    <mergeCell ref="F218:F221"/>
    <mergeCell ref="G218:G221"/>
    <mergeCell ref="H218:H221"/>
    <mergeCell ref="I218:I221"/>
    <mergeCell ref="L218:L221"/>
    <mergeCell ref="A222:A225"/>
    <mergeCell ref="B222:B225"/>
    <mergeCell ref="C222:C225"/>
    <mergeCell ref="D222:D225"/>
    <mergeCell ref="E222:E225"/>
    <mergeCell ref="F222:F225"/>
    <mergeCell ref="G222:G225"/>
    <mergeCell ref="H222:H225"/>
    <mergeCell ref="I222:I225"/>
    <mergeCell ref="L230:L233"/>
    <mergeCell ref="A226:A229"/>
    <mergeCell ref="B226:B229"/>
    <mergeCell ref="C226:C229"/>
    <mergeCell ref="D226:D229"/>
    <mergeCell ref="E226:E229"/>
    <mergeCell ref="F226:F229"/>
    <mergeCell ref="G226:G229"/>
    <mergeCell ref="H226:H229"/>
    <mergeCell ref="I226:I229"/>
    <mergeCell ref="L226:L229"/>
    <mergeCell ref="A230:A233"/>
    <mergeCell ref="B230:B233"/>
    <mergeCell ref="C230:C233"/>
    <mergeCell ref="D230:D233"/>
    <mergeCell ref="E230:E233"/>
    <mergeCell ref="F230:F233"/>
    <mergeCell ref="G230:G233"/>
    <mergeCell ref="H230:H233"/>
    <mergeCell ref="I230:I233"/>
    <mergeCell ref="L238:L241"/>
    <mergeCell ref="A234:A237"/>
    <mergeCell ref="B234:B237"/>
    <mergeCell ref="C234:C237"/>
    <mergeCell ref="D234:D237"/>
    <mergeCell ref="E234:E237"/>
    <mergeCell ref="F234:F237"/>
    <mergeCell ref="G234:G237"/>
    <mergeCell ref="H234:H237"/>
    <mergeCell ref="I234:I237"/>
    <mergeCell ref="L234:L237"/>
    <mergeCell ref="A238:A241"/>
    <mergeCell ref="B238:B241"/>
    <mergeCell ref="C238:C241"/>
    <mergeCell ref="D238:D241"/>
    <mergeCell ref="E238:E241"/>
    <mergeCell ref="F238:F241"/>
    <mergeCell ref="G238:G241"/>
    <mergeCell ref="H238:H241"/>
    <mergeCell ref="I238:I241"/>
    <mergeCell ref="L246:L249"/>
    <mergeCell ref="A242:A245"/>
    <mergeCell ref="B242:B245"/>
    <mergeCell ref="C242:C245"/>
    <mergeCell ref="D242:D245"/>
    <mergeCell ref="E242:E245"/>
    <mergeCell ref="F242:F245"/>
    <mergeCell ref="G242:G245"/>
    <mergeCell ref="H242:H245"/>
    <mergeCell ref="I242:I245"/>
    <mergeCell ref="L242:L245"/>
    <mergeCell ref="A246:A249"/>
    <mergeCell ref="B246:B249"/>
    <mergeCell ref="C246:C249"/>
    <mergeCell ref="D246:D249"/>
    <mergeCell ref="E246:E249"/>
    <mergeCell ref="F246:F249"/>
    <mergeCell ref="G246:G249"/>
    <mergeCell ref="H246:H249"/>
    <mergeCell ref="I246:I249"/>
    <mergeCell ref="L254:L257"/>
    <mergeCell ref="A250:A253"/>
    <mergeCell ref="B250:B253"/>
    <mergeCell ref="C250:C253"/>
    <mergeCell ref="D250:D253"/>
    <mergeCell ref="E250:E253"/>
    <mergeCell ref="F250:F253"/>
    <mergeCell ref="G250:G253"/>
    <mergeCell ref="H250:H253"/>
    <mergeCell ref="I250:I253"/>
    <mergeCell ref="L250:L253"/>
    <mergeCell ref="A254:A257"/>
    <mergeCell ref="B254:B257"/>
    <mergeCell ref="C254:C257"/>
    <mergeCell ref="D254:D257"/>
    <mergeCell ref="E254:E257"/>
    <mergeCell ref="F254:F257"/>
    <mergeCell ref="G254:G257"/>
    <mergeCell ref="H254:H257"/>
    <mergeCell ref="I254:I257"/>
    <mergeCell ref="L262:L265"/>
    <mergeCell ref="A258:A261"/>
    <mergeCell ref="B258:B261"/>
    <mergeCell ref="C258:C261"/>
    <mergeCell ref="D258:D261"/>
    <mergeCell ref="E258:E261"/>
    <mergeCell ref="F258:F261"/>
    <mergeCell ref="G258:G261"/>
    <mergeCell ref="H258:H261"/>
    <mergeCell ref="I258:I261"/>
    <mergeCell ref="L258:L261"/>
    <mergeCell ref="A262:A265"/>
    <mergeCell ref="B262:B265"/>
    <mergeCell ref="C262:C265"/>
    <mergeCell ref="D262:D265"/>
    <mergeCell ref="E262:E265"/>
    <mergeCell ref="F262:F265"/>
    <mergeCell ref="G262:G265"/>
    <mergeCell ref="H262:H265"/>
    <mergeCell ref="I262:I265"/>
    <mergeCell ref="L270:L273"/>
    <mergeCell ref="A266:A269"/>
    <mergeCell ref="B266:B269"/>
    <mergeCell ref="C266:C269"/>
    <mergeCell ref="D266:D269"/>
    <mergeCell ref="E266:E269"/>
    <mergeCell ref="F266:F269"/>
    <mergeCell ref="G266:G269"/>
    <mergeCell ref="H266:H269"/>
    <mergeCell ref="I266:I269"/>
    <mergeCell ref="L266:L269"/>
    <mergeCell ref="A270:A273"/>
    <mergeCell ref="B270:B273"/>
    <mergeCell ref="C270:C273"/>
    <mergeCell ref="D270:D273"/>
    <mergeCell ref="E270:E273"/>
    <mergeCell ref="F270:F273"/>
    <mergeCell ref="G270:G273"/>
    <mergeCell ref="H270:H273"/>
    <mergeCell ref="I270:I273"/>
    <mergeCell ref="L278:L281"/>
    <mergeCell ref="A274:A277"/>
    <mergeCell ref="B274:B277"/>
    <mergeCell ref="C274:C277"/>
    <mergeCell ref="D274:D277"/>
    <mergeCell ref="E274:E277"/>
    <mergeCell ref="F274:F277"/>
    <mergeCell ref="G274:G277"/>
    <mergeCell ref="H274:H277"/>
    <mergeCell ref="I274:I277"/>
    <mergeCell ref="L274:L277"/>
    <mergeCell ref="A278:A281"/>
    <mergeCell ref="B278:B281"/>
    <mergeCell ref="C278:C281"/>
    <mergeCell ref="D278:D281"/>
    <mergeCell ref="E278:E281"/>
    <mergeCell ref="F278:F281"/>
    <mergeCell ref="G278:G281"/>
    <mergeCell ref="H278:H281"/>
    <mergeCell ref="I278:I281"/>
    <mergeCell ref="L286:L289"/>
    <mergeCell ref="A282:A285"/>
    <mergeCell ref="B282:B285"/>
    <mergeCell ref="C282:C285"/>
    <mergeCell ref="D282:D285"/>
    <mergeCell ref="E282:E285"/>
    <mergeCell ref="F282:F285"/>
    <mergeCell ref="G282:G285"/>
    <mergeCell ref="H282:H285"/>
    <mergeCell ref="I282:I285"/>
    <mergeCell ref="L282:L285"/>
    <mergeCell ref="A286:A289"/>
    <mergeCell ref="B286:B289"/>
    <mergeCell ref="C286:C289"/>
    <mergeCell ref="D286:D289"/>
    <mergeCell ref="E286:E289"/>
    <mergeCell ref="F286:F289"/>
    <mergeCell ref="G286:G289"/>
    <mergeCell ref="H286:H289"/>
    <mergeCell ref="I286:I289"/>
    <mergeCell ref="L294:L297"/>
    <mergeCell ref="A290:A293"/>
    <mergeCell ref="B290:B293"/>
    <mergeCell ref="C290:C293"/>
    <mergeCell ref="D290:D293"/>
    <mergeCell ref="E290:E293"/>
    <mergeCell ref="F290:F293"/>
    <mergeCell ref="G290:G293"/>
    <mergeCell ref="H290:H293"/>
    <mergeCell ref="I290:I293"/>
    <mergeCell ref="L290:L293"/>
    <mergeCell ref="A294:A297"/>
    <mergeCell ref="B294:B297"/>
    <mergeCell ref="C294:C297"/>
    <mergeCell ref="D294:D297"/>
    <mergeCell ref="E294:E297"/>
    <mergeCell ref="F294:F297"/>
    <mergeCell ref="G294:G297"/>
    <mergeCell ref="H294:H297"/>
    <mergeCell ref="I294:I297"/>
    <mergeCell ref="L302:L305"/>
    <mergeCell ref="A298:A301"/>
    <mergeCell ref="B298:B301"/>
    <mergeCell ref="C298:C301"/>
    <mergeCell ref="D298:D301"/>
    <mergeCell ref="E298:E301"/>
    <mergeCell ref="F298:F301"/>
    <mergeCell ref="G298:G301"/>
    <mergeCell ref="H298:H301"/>
    <mergeCell ref="I298:I301"/>
    <mergeCell ref="L298:L301"/>
    <mergeCell ref="A302:A305"/>
    <mergeCell ref="B302:B305"/>
    <mergeCell ref="C302:C305"/>
    <mergeCell ref="D302:D305"/>
    <mergeCell ref="E302:E305"/>
    <mergeCell ref="F302:F305"/>
    <mergeCell ref="G302:G305"/>
    <mergeCell ref="H302:H305"/>
    <mergeCell ref="I302:I305"/>
    <mergeCell ref="L310:L313"/>
    <mergeCell ref="A306:A309"/>
    <mergeCell ref="B306:B309"/>
    <mergeCell ref="C306:C309"/>
    <mergeCell ref="D306:D309"/>
    <mergeCell ref="E306:E309"/>
    <mergeCell ref="F306:F309"/>
    <mergeCell ref="G306:G309"/>
    <mergeCell ref="H306:H309"/>
    <mergeCell ref="I306:I309"/>
    <mergeCell ref="L306:L309"/>
    <mergeCell ref="A310:A313"/>
    <mergeCell ref="B310:B313"/>
    <mergeCell ref="C310:C313"/>
    <mergeCell ref="D310:D313"/>
    <mergeCell ref="E310:E313"/>
    <mergeCell ref="F310:F313"/>
    <mergeCell ref="G310:G313"/>
    <mergeCell ref="H310:H313"/>
    <mergeCell ref="I310:I313"/>
    <mergeCell ref="L318:L321"/>
    <mergeCell ref="A314:A317"/>
    <mergeCell ref="B314:B317"/>
    <mergeCell ref="C314:C317"/>
    <mergeCell ref="D314:D317"/>
    <mergeCell ref="E314:E317"/>
    <mergeCell ref="F314:F317"/>
    <mergeCell ref="G314:G317"/>
    <mergeCell ref="H314:H317"/>
    <mergeCell ref="I314:I317"/>
    <mergeCell ref="L314:L317"/>
    <mergeCell ref="A318:A321"/>
    <mergeCell ref="B318:B321"/>
    <mergeCell ref="C318:C321"/>
    <mergeCell ref="D318:D321"/>
    <mergeCell ref="E318:E321"/>
    <mergeCell ref="F318:F321"/>
    <mergeCell ref="G318:G321"/>
    <mergeCell ref="H318:H321"/>
    <mergeCell ref="I318:I321"/>
    <mergeCell ref="L326:L329"/>
    <mergeCell ref="A322:A325"/>
    <mergeCell ref="B322:B325"/>
    <mergeCell ref="C322:C325"/>
    <mergeCell ref="D322:D325"/>
    <mergeCell ref="E322:E325"/>
    <mergeCell ref="F322:F325"/>
    <mergeCell ref="G322:G325"/>
    <mergeCell ref="H322:H325"/>
    <mergeCell ref="I322:I325"/>
    <mergeCell ref="L322:L325"/>
    <mergeCell ref="A326:A329"/>
    <mergeCell ref="B326:B329"/>
    <mergeCell ref="C326:C329"/>
    <mergeCell ref="D326:D329"/>
    <mergeCell ref="E326:E329"/>
    <mergeCell ref="F326:F329"/>
    <mergeCell ref="G326:G329"/>
    <mergeCell ref="H326:H329"/>
    <mergeCell ref="I326:I329"/>
    <mergeCell ref="L334:L337"/>
    <mergeCell ref="A330:A333"/>
    <mergeCell ref="B330:B333"/>
    <mergeCell ref="C330:C333"/>
    <mergeCell ref="D330:D333"/>
    <mergeCell ref="E330:E333"/>
    <mergeCell ref="F330:F333"/>
    <mergeCell ref="G330:G333"/>
    <mergeCell ref="H330:H333"/>
    <mergeCell ref="I330:I333"/>
    <mergeCell ref="L330:L333"/>
    <mergeCell ref="A334:A337"/>
    <mergeCell ref="B334:B337"/>
    <mergeCell ref="C334:C337"/>
    <mergeCell ref="D334:D337"/>
    <mergeCell ref="E334:E337"/>
    <mergeCell ref="F334:F337"/>
    <mergeCell ref="G334:G337"/>
    <mergeCell ref="H334:H337"/>
    <mergeCell ref="I334:I337"/>
    <mergeCell ref="L342:L345"/>
    <mergeCell ref="A338:A341"/>
    <mergeCell ref="B338:B341"/>
    <mergeCell ref="C338:C341"/>
    <mergeCell ref="D338:D341"/>
    <mergeCell ref="E338:E341"/>
    <mergeCell ref="F338:F341"/>
    <mergeCell ref="G338:G341"/>
    <mergeCell ref="H338:H341"/>
    <mergeCell ref="I338:I341"/>
    <mergeCell ref="L338:L341"/>
    <mergeCell ref="A342:A345"/>
    <mergeCell ref="B342:B345"/>
    <mergeCell ref="C342:C345"/>
    <mergeCell ref="D342:D345"/>
    <mergeCell ref="E342:E345"/>
    <mergeCell ref="F342:F345"/>
    <mergeCell ref="G342:G345"/>
    <mergeCell ref="H342:H345"/>
    <mergeCell ref="I342:I345"/>
    <mergeCell ref="L350:L353"/>
    <mergeCell ref="A346:A349"/>
    <mergeCell ref="B346:B349"/>
    <mergeCell ref="C346:C349"/>
    <mergeCell ref="D346:D349"/>
    <mergeCell ref="E346:E349"/>
    <mergeCell ref="F346:F349"/>
    <mergeCell ref="G346:G349"/>
    <mergeCell ref="H346:H349"/>
    <mergeCell ref="I346:I349"/>
    <mergeCell ref="L346:L349"/>
    <mergeCell ref="A350:A353"/>
    <mergeCell ref="B350:B353"/>
    <mergeCell ref="C350:C353"/>
    <mergeCell ref="D350:D353"/>
    <mergeCell ref="E350:E353"/>
    <mergeCell ref="F350:F353"/>
    <mergeCell ref="G350:G353"/>
    <mergeCell ref="H350:H353"/>
    <mergeCell ref="I350:I353"/>
    <mergeCell ref="L358:L361"/>
    <mergeCell ref="A354:A357"/>
    <mergeCell ref="B354:B357"/>
    <mergeCell ref="C354:C357"/>
    <mergeCell ref="D354:D357"/>
    <mergeCell ref="E354:E357"/>
    <mergeCell ref="F354:F357"/>
    <mergeCell ref="G354:G357"/>
    <mergeCell ref="H354:H357"/>
    <mergeCell ref="I354:I357"/>
    <mergeCell ref="L354:L357"/>
    <mergeCell ref="A358:A361"/>
    <mergeCell ref="B358:B361"/>
    <mergeCell ref="C358:C361"/>
    <mergeCell ref="D358:D361"/>
    <mergeCell ref="E358:E361"/>
    <mergeCell ref="F358:F361"/>
    <mergeCell ref="G358:G361"/>
    <mergeCell ref="H358:H361"/>
    <mergeCell ref="I358:I361"/>
    <mergeCell ref="L366:L369"/>
    <mergeCell ref="A362:A365"/>
    <mergeCell ref="B362:B365"/>
    <mergeCell ref="C362:C365"/>
    <mergeCell ref="D362:D365"/>
    <mergeCell ref="E362:E365"/>
    <mergeCell ref="F362:F365"/>
    <mergeCell ref="G362:G365"/>
    <mergeCell ref="H362:H365"/>
    <mergeCell ref="I362:I365"/>
    <mergeCell ref="L362:L365"/>
    <mergeCell ref="A366:A369"/>
    <mergeCell ref="B366:B369"/>
    <mergeCell ref="C366:C369"/>
    <mergeCell ref="D366:D369"/>
    <mergeCell ref="E366:E369"/>
    <mergeCell ref="F366:F369"/>
    <mergeCell ref="G366:G369"/>
    <mergeCell ref="H366:H369"/>
    <mergeCell ref="I366:I369"/>
    <mergeCell ref="L374:L377"/>
    <mergeCell ref="A370:A373"/>
    <mergeCell ref="B370:B373"/>
    <mergeCell ref="C370:C373"/>
    <mergeCell ref="D370:D373"/>
    <mergeCell ref="E370:E373"/>
    <mergeCell ref="F370:F373"/>
    <mergeCell ref="G370:G373"/>
    <mergeCell ref="H370:H373"/>
    <mergeCell ref="I370:I373"/>
    <mergeCell ref="L370:L373"/>
    <mergeCell ref="A374:A377"/>
    <mergeCell ref="B374:B377"/>
    <mergeCell ref="C374:C377"/>
    <mergeCell ref="D374:D377"/>
    <mergeCell ref="E374:E377"/>
    <mergeCell ref="F374:F377"/>
    <mergeCell ref="G374:G377"/>
    <mergeCell ref="H374:H377"/>
    <mergeCell ref="I374:I377"/>
    <mergeCell ref="L382:L385"/>
    <mergeCell ref="A378:A381"/>
    <mergeCell ref="B378:B381"/>
    <mergeCell ref="C378:C381"/>
    <mergeCell ref="D378:D381"/>
    <mergeCell ref="E378:E381"/>
    <mergeCell ref="F378:F381"/>
    <mergeCell ref="G378:G381"/>
    <mergeCell ref="H378:H381"/>
    <mergeCell ref="I378:I381"/>
    <mergeCell ref="L378:L381"/>
    <mergeCell ref="A382:A385"/>
    <mergeCell ref="B382:B385"/>
    <mergeCell ref="C382:C385"/>
    <mergeCell ref="D382:D385"/>
    <mergeCell ref="E382:E385"/>
    <mergeCell ref="F382:F385"/>
    <mergeCell ref="G382:G385"/>
    <mergeCell ref="H382:H385"/>
    <mergeCell ref="I382:I385"/>
    <mergeCell ref="L390:L393"/>
    <mergeCell ref="A386:A389"/>
    <mergeCell ref="B386:B389"/>
    <mergeCell ref="C386:C389"/>
    <mergeCell ref="D386:D389"/>
    <mergeCell ref="E386:E389"/>
    <mergeCell ref="F386:F389"/>
    <mergeCell ref="G386:G389"/>
    <mergeCell ref="H386:H389"/>
    <mergeCell ref="I386:I389"/>
    <mergeCell ref="L386:L389"/>
    <mergeCell ref="A390:A393"/>
    <mergeCell ref="B390:B393"/>
    <mergeCell ref="C390:C393"/>
    <mergeCell ref="D390:D393"/>
    <mergeCell ref="E390:E393"/>
    <mergeCell ref="F390:F393"/>
    <mergeCell ref="G390:G393"/>
    <mergeCell ref="H390:H393"/>
    <mergeCell ref="I390:I393"/>
    <mergeCell ref="L398:L401"/>
    <mergeCell ref="A394:A397"/>
    <mergeCell ref="B394:B397"/>
    <mergeCell ref="C394:C397"/>
    <mergeCell ref="D394:D397"/>
    <mergeCell ref="E394:E397"/>
    <mergeCell ref="F394:F397"/>
    <mergeCell ref="G394:G397"/>
    <mergeCell ref="H394:H397"/>
    <mergeCell ref="I394:I397"/>
    <mergeCell ref="L394:L397"/>
    <mergeCell ref="A398:A401"/>
    <mergeCell ref="B398:B401"/>
    <mergeCell ref="C398:C401"/>
    <mergeCell ref="D398:D401"/>
    <mergeCell ref="E398:E401"/>
    <mergeCell ref="F398:F401"/>
    <mergeCell ref="G398:G401"/>
    <mergeCell ref="H398:H401"/>
    <mergeCell ref="I398:I401"/>
    <mergeCell ref="L406:L409"/>
    <mergeCell ref="A402:A405"/>
    <mergeCell ref="B402:B405"/>
    <mergeCell ref="C402:C405"/>
    <mergeCell ref="D402:D405"/>
    <mergeCell ref="E402:E405"/>
    <mergeCell ref="F402:F405"/>
    <mergeCell ref="G402:G405"/>
    <mergeCell ref="H402:H405"/>
    <mergeCell ref="I402:I405"/>
    <mergeCell ref="L402:L405"/>
    <mergeCell ref="A406:A409"/>
    <mergeCell ref="B406:B409"/>
    <mergeCell ref="C406:C409"/>
    <mergeCell ref="D406:D409"/>
    <mergeCell ref="E406:E409"/>
    <mergeCell ref="F406:F409"/>
    <mergeCell ref="G406:G409"/>
    <mergeCell ref="H406:H409"/>
    <mergeCell ref="I406:I409"/>
    <mergeCell ref="L414:L417"/>
    <mergeCell ref="A410:A413"/>
    <mergeCell ref="B410:B413"/>
    <mergeCell ref="C410:C413"/>
    <mergeCell ref="D410:D413"/>
    <mergeCell ref="E410:E413"/>
    <mergeCell ref="F410:F413"/>
    <mergeCell ref="G410:G413"/>
    <mergeCell ref="H410:H413"/>
    <mergeCell ref="I410:I413"/>
    <mergeCell ref="L410:L413"/>
    <mergeCell ref="A414:A417"/>
    <mergeCell ref="B414:B417"/>
    <mergeCell ref="C414:C417"/>
    <mergeCell ref="D414:D417"/>
    <mergeCell ref="E414:E417"/>
    <mergeCell ref="F414:F417"/>
    <mergeCell ref="G414:G417"/>
    <mergeCell ref="H414:H417"/>
    <mergeCell ref="I414:I417"/>
    <mergeCell ref="L422:L425"/>
    <mergeCell ref="A418:A421"/>
    <mergeCell ref="B418:B421"/>
    <mergeCell ref="C418:C421"/>
    <mergeCell ref="D418:D421"/>
    <mergeCell ref="E418:E421"/>
    <mergeCell ref="F418:F421"/>
    <mergeCell ref="G418:G421"/>
    <mergeCell ref="H418:H421"/>
    <mergeCell ref="I418:I421"/>
    <mergeCell ref="L418:L421"/>
    <mergeCell ref="A422:A425"/>
    <mergeCell ref="B422:B425"/>
    <mergeCell ref="C422:C425"/>
    <mergeCell ref="D422:D425"/>
    <mergeCell ref="E422:E425"/>
    <mergeCell ref="F422:F425"/>
    <mergeCell ref="G422:G425"/>
    <mergeCell ref="H422:H425"/>
    <mergeCell ref="I422:I425"/>
    <mergeCell ref="L430:L433"/>
    <mergeCell ref="A426:A429"/>
    <mergeCell ref="B426:B429"/>
    <mergeCell ref="C426:C429"/>
    <mergeCell ref="D426:D429"/>
    <mergeCell ref="E426:E429"/>
    <mergeCell ref="F426:F429"/>
    <mergeCell ref="G426:G429"/>
    <mergeCell ref="H426:H429"/>
    <mergeCell ref="I426:I429"/>
    <mergeCell ref="L426:L429"/>
    <mergeCell ref="A430:A433"/>
    <mergeCell ref="B430:B433"/>
    <mergeCell ref="C430:C433"/>
    <mergeCell ref="D430:D433"/>
    <mergeCell ref="E430:E433"/>
    <mergeCell ref="F430:F433"/>
    <mergeCell ref="G430:G433"/>
    <mergeCell ref="H430:H433"/>
    <mergeCell ref="I430:I433"/>
    <mergeCell ref="L438:L441"/>
    <mergeCell ref="A434:A437"/>
    <mergeCell ref="B434:B437"/>
    <mergeCell ref="C434:C437"/>
    <mergeCell ref="D434:D437"/>
    <mergeCell ref="E434:E437"/>
    <mergeCell ref="F434:F437"/>
    <mergeCell ref="G434:G437"/>
    <mergeCell ref="H434:H437"/>
    <mergeCell ref="I434:I437"/>
    <mergeCell ref="L434:L437"/>
    <mergeCell ref="A438:A441"/>
    <mergeCell ref="B438:B441"/>
    <mergeCell ref="C438:C441"/>
    <mergeCell ref="D438:D441"/>
    <mergeCell ref="E438:E441"/>
    <mergeCell ref="F438:F441"/>
    <mergeCell ref="G438:G441"/>
    <mergeCell ref="H438:H441"/>
    <mergeCell ref="I438:I441"/>
    <mergeCell ref="L446:L449"/>
    <mergeCell ref="A442:A445"/>
    <mergeCell ref="B442:B445"/>
    <mergeCell ref="C442:C445"/>
    <mergeCell ref="D442:D445"/>
    <mergeCell ref="E442:E445"/>
    <mergeCell ref="F442:F445"/>
    <mergeCell ref="G442:G445"/>
    <mergeCell ref="H442:H445"/>
    <mergeCell ref="I442:I445"/>
    <mergeCell ref="L442:L445"/>
    <mergeCell ref="A446:A449"/>
    <mergeCell ref="B446:B449"/>
    <mergeCell ref="C446:C449"/>
    <mergeCell ref="D446:D449"/>
    <mergeCell ref="E446:E449"/>
    <mergeCell ref="F446:F449"/>
    <mergeCell ref="G446:G449"/>
    <mergeCell ref="H446:H449"/>
    <mergeCell ref="I446:I449"/>
    <mergeCell ref="L454:L457"/>
    <mergeCell ref="A450:A453"/>
    <mergeCell ref="B450:B453"/>
    <mergeCell ref="C450:C453"/>
    <mergeCell ref="D450:D453"/>
    <mergeCell ref="E450:E453"/>
    <mergeCell ref="F450:F453"/>
    <mergeCell ref="G450:G453"/>
    <mergeCell ref="H450:H453"/>
    <mergeCell ref="I450:I453"/>
    <mergeCell ref="L450:L453"/>
    <mergeCell ref="A454:A457"/>
    <mergeCell ref="B454:B457"/>
    <mergeCell ref="C454:C457"/>
    <mergeCell ref="D454:D457"/>
    <mergeCell ref="E454:E457"/>
    <mergeCell ref="F454:F457"/>
    <mergeCell ref="G454:G457"/>
    <mergeCell ref="H454:H457"/>
    <mergeCell ref="I454:I457"/>
    <mergeCell ref="L462:L465"/>
    <mergeCell ref="A458:A461"/>
    <mergeCell ref="B458:B461"/>
    <mergeCell ref="C458:C461"/>
    <mergeCell ref="D458:D461"/>
    <mergeCell ref="E458:E461"/>
    <mergeCell ref="F458:F461"/>
    <mergeCell ref="G458:G461"/>
    <mergeCell ref="H458:H461"/>
    <mergeCell ref="I458:I461"/>
    <mergeCell ref="L458:L461"/>
    <mergeCell ref="A462:A465"/>
    <mergeCell ref="B462:B465"/>
    <mergeCell ref="C462:C465"/>
    <mergeCell ref="D462:D465"/>
    <mergeCell ref="E462:E465"/>
    <mergeCell ref="F462:F465"/>
    <mergeCell ref="G462:G465"/>
    <mergeCell ref="H462:H465"/>
    <mergeCell ref="I462:I465"/>
    <mergeCell ref="L470:L473"/>
    <mergeCell ref="A466:A469"/>
    <mergeCell ref="B466:B469"/>
    <mergeCell ref="C466:C469"/>
    <mergeCell ref="D466:D469"/>
    <mergeCell ref="E466:E469"/>
    <mergeCell ref="F466:F469"/>
    <mergeCell ref="G466:G469"/>
    <mergeCell ref="H466:H469"/>
    <mergeCell ref="I466:I469"/>
    <mergeCell ref="L466:L469"/>
    <mergeCell ref="A470:A473"/>
    <mergeCell ref="B470:B473"/>
    <mergeCell ref="C470:C473"/>
    <mergeCell ref="D470:D473"/>
    <mergeCell ref="E470:E473"/>
    <mergeCell ref="F470:F473"/>
    <mergeCell ref="G470:G473"/>
    <mergeCell ref="H470:H473"/>
    <mergeCell ref="I470:I473"/>
    <mergeCell ref="L478:L481"/>
    <mergeCell ref="A474:A477"/>
    <mergeCell ref="B474:B477"/>
    <mergeCell ref="C474:C477"/>
    <mergeCell ref="D474:D477"/>
    <mergeCell ref="E474:E477"/>
    <mergeCell ref="F474:F477"/>
    <mergeCell ref="G474:G477"/>
    <mergeCell ref="H474:H477"/>
    <mergeCell ref="I474:I477"/>
    <mergeCell ref="L474:L477"/>
    <mergeCell ref="A478:A481"/>
    <mergeCell ref="B478:B481"/>
    <mergeCell ref="C478:C481"/>
    <mergeCell ref="D478:D481"/>
    <mergeCell ref="E478:E481"/>
    <mergeCell ref="F478:F481"/>
    <mergeCell ref="G478:G481"/>
    <mergeCell ref="H478:H481"/>
    <mergeCell ref="I478:I481"/>
    <mergeCell ref="L486:L489"/>
    <mergeCell ref="A482:A485"/>
    <mergeCell ref="B482:B485"/>
    <mergeCell ref="C482:C485"/>
    <mergeCell ref="D482:D485"/>
    <mergeCell ref="E482:E485"/>
    <mergeCell ref="F482:F485"/>
    <mergeCell ref="G482:G485"/>
    <mergeCell ref="H482:H485"/>
    <mergeCell ref="I482:I485"/>
    <mergeCell ref="L482:L485"/>
    <mergeCell ref="A486:A489"/>
    <mergeCell ref="B486:B489"/>
    <mergeCell ref="C486:C489"/>
    <mergeCell ref="D486:D489"/>
    <mergeCell ref="E486:E489"/>
    <mergeCell ref="F486:F489"/>
    <mergeCell ref="G486:G489"/>
    <mergeCell ref="H486:H489"/>
    <mergeCell ref="I486:I489"/>
    <mergeCell ref="L494:L497"/>
    <mergeCell ref="A490:A493"/>
    <mergeCell ref="B490:B493"/>
    <mergeCell ref="C490:C493"/>
    <mergeCell ref="D490:D493"/>
    <mergeCell ref="E490:E493"/>
    <mergeCell ref="F490:F493"/>
    <mergeCell ref="G490:G493"/>
    <mergeCell ref="H490:H493"/>
    <mergeCell ref="I490:I493"/>
    <mergeCell ref="L490:L493"/>
    <mergeCell ref="A494:A497"/>
    <mergeCell ref="B494:B497"/>
    <mergeCell ref="C494:C497"/>
    <mergeCell ref="D494:D497"/>
    <mergeCell ref="E494:E497"/>
    <mergeCell ref="F494:F497"/>
    <mergeCell ref="G494:G497"/>
    <mergeCell ref="H494:H497"/>
    <mergeCell ref="I494:I497"/>
    <mergeCell ref="L502:L505"/>
    <mergeCell ref="A498:A501"/>
    <mergeCell ref="B498:B501"/>
    <mergeCell ref="C498:C501"/>
    <mergeCell ref="D498:D501"/>
    <mergeCell ref="E498:E501"/>
    <mergeCell ref="F498:F501"/>
    <mergeCell ref="G498:G501"/>
    <mergeCell ref="H498:H501"/>
    <mergeCell ref="I498:I501"/>
    <mergeCell ref="L498:L501"/>
    <mergeCell ref="A502:A505"/>
    <mergeCell ref="B502:B505"/>
    <mergeCell ref="C502:C505"/>
    <mergeCell ref="D502:D505"/>
    <mergeCell ref="E502:E505"/>
    <mergeCell ref="F502:F505"/>
    <mergeCell ref="G502:G505"/>
    <mergeCell ref="H502:H505"/>
    <mergeCell ref="I502:I505"/>
    <mergeCell ref="L510:L513"/>
    <mergeCell ref="A506:A509"/>
    <mergeCell ref="B506:B509"/>
    <mergeCell ref="C506:C509"/>
    <mergeCell ref="D506:D509"/>
    <mergeCell ref="E506:E509"/>
    <mergeCell ref="F506:F509"/>
    <mergeCell ref="G506:G509"/>
    <mergeCell ref="H506:H509"/>
    <mergeCell ref="I506:I509"/>
    <mergeCell ref="L506:L509"/>
    <mergeCell ref="A510:A513"/>
    <mergeCell ref="B510:B513"/>
    <mergeCell ref="C510:C513"/>
    <mergeCell ref="D510:D513"/>
    <mergeCell ref="E510:E513"/>
    <mergeCell ref="F510:F513"/>
    <mergeCell ref="G510:G513"/>
    <mergeCell ref="H510:H513"/>
    <mergeCell ref="I510:I513"/>
    <mergeCell ref="L518:L521"/>
    <mergeCell ref="A514:A517"/>
    <mergeCell ref="B514:B517"/>
    <mergeCell ref="C514:C517"/>
    <mergeCell ref="D514:D517"/>
    <mergeCell ref="E514:E517"/>
    <mergeCell ref="F514:F517"/>
    <mergeCell ref="G514:G517"/>
    <mergeCell ref="H514:H517"/>
    <mergeCell ref="I514:I517"/>
    <mergeCell ref="L514:L517"/>
    <mergeCell ref="A518:A521"/>
    <mergeCell ref="B518:B521"/>
    <mergeCell ref="C518:C521"/>
    <mergeCell ref="D518:D521"/>
    <mergeCell ref="E518:E521"/>
    <mergeCell ref="F518:F521"/>
    <mergeCell ref="G518:G521"/>
    <mergeCell ref="H518:H521"/>
    <mergeCell ref="I518:I521"/>
    <mergeCell ref="L526:L529"/>
    <mergeCell ref="A522:A525"/>
    <mergeCell ref="B522:B525"/>
    <mergeCell ref="C522:C525"/>
    <mergeCell ref="D522:D525"/>
    <mergeCell ref="E522:E525"/>
    <mergeCell ref="F522:F525"/>
    <mergeCell ref="G522:G525"/>
    <mergeCell ref="H522:H525"/>
    <mergeCell ref="I522:I525"/>
    <mergeCell ref="L522:L525"/>
    <mergeCell ref="A526:A529"/>
    <mergeCell ref="B526:B529"/>
    <mergeCell ref="C526:C529"/>
    <mergeCell ref="D526:D529"/>
    <mergeCell ref="E526:E529"/>
    <mergeCell ref="F526:F529"/>
    <mergeCell ref="G526:G529"/>
    <mergeCell ref="H526:H529"/>
    <mergeCell ref="I526:I529"/>
    <mergeCell ref="L534:L537"/>
    <mergeCell ref="A530:A533"/>
    <mergeCell ref="B530:B533"/>
    <mergeCell ref="C530:C533"/>
    <mergeCell ref="D530:D533"/>
    <mergeCell ref="E530:E533"/>
    <mergeCell ref="F530:F533"/>
    <mergeCell ref="G530:G533"/>
    <mergeCell ref="H530:H533"/>
    <mergeCell ref="I530:I533"/>
    <mergeCell ref="L530:L533"/>
    <mergeCell ref="A534:A537"/>
    <mergeCell ref="B534:B537"/>
    <mergeCell ref="C534:C537"/>
    <mergeCell ref="D534:D537"/>
    <mergeCell ref="E534:E537"/>
    <mergeCell ref="F534:F537"/>
    <mergeCell ref="G534:G537"/>
    <mergeCell ref="H534:H537"/>
    <mergeCell ref="I534:I537"/>
    <mergeCell ref="L542:L545"/>
    <mergeCell ref="A538:A541"/>
    <mergeCell ref="B538:B541"/>
    <mergeCell ref="C538:C541"/>
    <mergeCell ref="D538:D541"/>
    <mergeCell ref="E538:E541"/>
    <mergeCell ref="F538:F541"/>
    <mergeCell ref="G538:G541"/>
    <mergeCell ref="H538:H541"/>
    <mergeCell ref="I538:I541"/>
    <mergeCell ref="L538:L541"/>
    <mergeCell ref="A542:A545"/>
    <mergeCell ref="B542:B545"/>
    <mergeCell ref="C542:C545"/>
    <mergeCell ref="D542:D545"/>
    <mergeCell ref="E542:E545"/>
    <mergeCell ref="F542:F545"/>
    <mergeCell ref="G542:G545"/>
    <mergeCell ref="H542:H545"/>
    <mergeCell ref="I542:I545"/>
    <mergeCell ref="L550:L553"/>
    <mergeCell ref="A546:A549"/>
    <mergeCell ref="B546:B549"/>
    <mergeCell ref="C546:C549"/>
    <mergeCell ref="D546:D549"/>
    <mergeCell ref="E546:E549"/>
    <mergeCell ref="F546:F549"/>
    <mergeCell ref="G546:G549"/>
    <mergeCell ref="H546:H549"/>
    <mergeCell ref="I546:I549"/>
    <mergeCell ref="L546:L549"/>
    <mergeCell ref="A550:A553"/>
    <mergeCell ref="B550:B553"/>
    <mergeCell ref="C550:C553"/>
    <mergeCell ref="D550:D553"/>
    <mergeCell ref="E550:E553"/>
    <mergeCell ref="F550:F553"/>
    <mergeCell ref="G550:G553"/>
    <mergeCell ref="H550:H553"/>
    <mergeCell ref="I550:I553"/>
    <mergeCell ref="L558:L561"/>
    <mergeCell ref="A554:A557"/>
    <mergeCell ref="B554:B557"/>
    <mergeCell ref="C554:C557"/>
    <mergeCell ref="D554:D557"/>
    <mergeCell ref="E554:E557"/>
    <mergeCell ref="F554:F557"/>
    <mergeCell ref="G554:G557"/>
    <mergeCell ref="H554:H557"/>
    <mergeCell ref="I554:I557"/>
    <mergeCell ref="L554:L557"/>
    <mergeCell ref="A558:A561"/>
    <mergeCell ref="B558:B561"/>
    <mergeCell ref="C558:C561"/>
    <mergeCell ref="D558:D561"/>
    <mergeCell ref="E558:E561"/>
    <mergeCell ref="F558:F561"/>
    <mergeCell ref="G558:G561"/>
    <mergeCell ref="H558:H561"/>
    <mergeCell ref="I558:I561"/>
    <mergeCell ref="L566:L569"/>
    <mergeCell ref="A562:A565"/>
    <mergeCell ref="B562:B565"/>
    <mergeCell ref="C562:C565"/>
    <mergeCell ref="D562:D565"/>
    <mergeCell ref="E562:E565"/>
    <mergeCell ref="F562:F565"/>
    <mergeCell ref="G562:G565"/>
    <mergeCell ref="H562:H565"/>
    <mergeCell ref="I562:I565"/>
    <mergeCell ref="L562:L565"/>
    <mergeCell ref="A566:A569"/>
    <mergeCell ref="B566:B569"/>
    <mergeCell ref="C566:C569"/>
    <mergeCell ref="D566:D569"/>
    <mergeCell ref="E566:E569"/>
    <mergeCell ref="F566:F569"/>
    <mergeCell ref="G566:G569"/>
    <mergeCell ref="H566:H569"/>
    <mergeCell ref="I566:I569"/>
    <mergeCell ref="L574:L577"/>
    <mergeCell ref="A570:A573"/>
    <mergeCell ref="B570:B573"/>
    <mergeCell ref="C570:C573"/>
    <mergeCell ref="D570:D573"/>
    <mergeCell ref="E570:E573"/>
    <mergeCell ref="F570:F573"/>
    <mergeCell ref="G570:G573"/>
    <mergeCell ref="H570:H573"/>
    <mergeCell ref="I570:I573"/>
    <mergeCell ref="L570:L573"/>
    <mergeCell ref="A574:A577"/>
    <mergeCell ref="B574:B577"/>
    <mergeCell ref="C574:C577"/>
    <mergeCell ref="D574:D577"/>
    <mergeCell ref="E574:E577"/>
    <mergeCell ref="F574:F577"/>
    <mergeCell ref="G574:G577"/>
    <mergeCell ref="H574:H577"/>
    <mergeCell ref="I574:I577"/>
    <mergeCell ref="L582:L585"/>
    <mergeCell ref="A578:A581"/>
    <mergeCell ref="B578:B581"/>
    <mergeCell ref="C578:C581"/>
    <mergeCell ref="D578:D581"/>
    <mergeCell ref="E578:E581"/>
    <mergeCell ref="F578:F581"/>
    <mergeCell ref="G578:G581"/>
    <mergeCell ref="H578:H581"/>
    <mergeCell ref="I578:I581"/>
    <mergeCell ref="L578:L581"/>
    <mergeCell ref="A582:A585"/>
    <mergeCell ref="B582:B585"/>
    <mergeCell ref="C582:C585"/>
    <mergeCell ref="D582:D585"/>
    <mergeCell ref="E582:E585"/>
    <mergeCell ref="F582:F585"/>
    <mergeCell ref="G582:G585"/>
    <mergeCell ref="H582:H585"/>
    <mergeCell ref="I582:I585"/>
    <mergeCell ref="L590:L593"/>
    <mergeCell ref="A586:A589"/>
    <mergeCell ref="B586:B589"/>
    <mergeCell ref="C586:C589"/>
    <mergeCell ref="D586:D589"/>
    <mergeCell ref="E586:E589"/>
    <mergeCell ref="F586:F589"/>
    <mergeCell ref="G586:G589"/>
    <mergeCell ref="H586:H589"/>
    <mergeCell ref="I586:I589"/>
    <mergeCell ref="L586:L589"/>
    <mergeCell ref="A590:A593"/>
    <mergeCell ref="B590:B593"/>
    <mergeCell ref="C590:C593"/>
    <mergeCell ref="D590:D593"/>
    <mergeCell ref="E590:E593"/>
    <mergeCell ref="F590:F593"/>
    <mergeCell ref="G590:G593"/>
    <mergeCell ref="H590:H593"/>
    <mergeCell ref="I590:I593"/>
    <mergeCell ref="L598:L601"/>
    <mergeCell ref="A594:A597"/>
    <mergeCell ref="B594:B597"/>
    <mergeCell ref="C594:C597"/>
    <mergeCell ref="D594:D597"/>
    <mergeCell ref="E594:E597"/>
    <mergeCell ref="F594:F597"/>
    <mergeCell ref="G594:G597"/>
    <mergeCell ref="H594:H597"/>
    <mergeCell ref="I594:I597"/>
    <mergeCell ref="L594:L597"/>
    <mergeCell ref="A598:A601"/>
    <mergeCell ref="B598:B601"/>
    <mergeCell ref="C598:C601"/>
    <mergeCell ref="D598:D601"/>
    <mergeCell ref="E598:E601"/>
    <mergeCell ref="F598:F601"/>
    <mergeCell ref="G598:G601"/>
    <mergeCell ref="H598:H601"/>
    <mergeCell ref="I598:I601"/>
    <mergeCell ref="L606:L609"/>
    <mergeCell ref="A602:A605"/>
    <mergeCell ref="B602:B605"/>
    <mergeCell ref="C602:C605"/>
    <mergeCell ref="D602:D605"/>
    <mergeCell ref="E602:E605"/>
    <mergeCell ref="F602:F605"/>
    <mergeCell ref="G602:G605"/>
    <mergeCell ref="H602:H605"/>
    <mergeCell ref="I602:I605"/>
    <mergeCell ref="L602:L605"/>
    <mergeCell ref="A606:A609"/>
    <mergeCell ref="B606:B609"/>
    <mergeCell ref="C606:C609"/>
    <mergeCell ref="D606:D609"/>
    <mergeCell ref="E606:E609"/>
    <mergeCell ref="F606:F609"/>
    <mergeCell ref="G606:G609"/>
    <mergeCell ref="H606:H609"/>
    <mergeCell ref="I606:I609"/>
    <mergeCell ref="L610:L613"/>
    <mergeCell ref="A610:A613"/>
    <mergeCell ref="B610:B613"/>
    <mergeCell ref="C610:C613"/>
    <mergeCell ref="D610:D613"/>
    <mergeCell ref="E610:E613"/>
    <mergeCell ref="F610:F613"/>
    <mergeCell ref="G610:G613"/>
    <mergeCell ref="H610:H613"/>
    <mergeCell ref="I610:I613"/>
    <mergeCell ref="A614:A617"/>
    <mergeCell ref="B614:B617"/>
    <mergeCell ref="C614:C617"/>
    <mergeCell ref="D614:D617"/>
    <mergeCell ref="E614:E617"/>
    <mergeCell ref="F614:F617"/>
    <mergeCell ref="G614:G617"/>
    <mergeCell ref="H614:H617"/>
    <mergeCell ref="I614:I617"/>
    <mergeCell ref="L614:L617"/>
  </mergeCells>
  <phoneticPr fontId="13" type="noConversion"/>
  <pageMargins left="0.39370078740157483" right="0" top="0.15748031496062992" bottom="0.19685039370078741" header="0.59055118110236215" footer="0.59055118110236215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599BE-1055-4ED0-8E28-B80EDB43B9EA}">
  <sheetPr>
    <pageSetUpPr fitToPage="1"/>
  </sheetPr>
  <dimension ref="A1:P169"/>
  <sheetViews>
    <sheetView workbookViewId="0">
      <selection activeCell="G162" sqref="G162"/>
    </sheetView>
  </sheetViews>
  <sheetFormatPr baseColWidth="10" defaultRowHeight="15" x14ac:dyDescent="0.25"/>
  <cols>
    <col min="1" max="1" width="36.7109375" style="28" bestFit="1" customWidth="1"/>
    <col min="2" max="3" width="12.5703125" style="28" bestFit="1" customWidth="1"/>
    <col min="4" max="4" width="10.140625" style="28" bestFit="1" customWidth="1"/>
    <col min="5" max="5" width="13.28515625" style="28" bestFit="1" customWidth="1"/>
    <col min="6" max="6" width="14.140625" style="28" bestFit="1" customWidth="1"/>
    <col min="7" max="7" width="14.7109375" bestFit="1" customWidth="1"/>
    <col min="8" max="8" width="14" bestFit="1" customWidth="1"/>
    <col min="9" max="9" width="10" bestFit="1" customWidth="1"/>
    <col min="10" max="10" width="13.28515625" bestFit="1" customWidth="1"/>
    <col min="11" max="11" width="12.140625" bestFit="1" customWidth="1"/>
    <col min="12" max="12" width="13.28515625" bestFit="1" customWidth="1"/>
    <col min="13" max="13" width="12.140625" bestFit="1" customWidth="1"/>
    <col min="14" max="14" width="13.28515625" bestFit="1" customWidth="1"/>
    <col min="15" max="15" width="12.140625" bestFit="1" customWidth="1"/>
    <col min="16" max="16" width="9.42578125" bestFit="1" customWidth="1"/>
  </cols>
  <sheetData>
    <row r="1" spans="1:16" s="29" customFormat="1" ht="33.75" customHeight="1" thickBot="1" x14ac:dyDescent="0.3">
      <c r="A1" s="97" t="s">
        <v>430</v>
      </c>
      <c r="B1" s="34" t="s">
        <v>428</v>
      </c>
      <c r="C1" s="33" t="s">
        <v>316</v>
      </c>
      <c r="D1" s="30" t="s">
        <v>315</v>
      </c>
      <c r="E1" s="30" t="s">
        <v>314</v>
      </c>
      <c r="F1" s="30" t="s">
        <v>313</v>
      </c>
      <c r="G1" s="32" t="s">
        <v>67</v>
      </c>
      <c r="H1" s="31" t="s">
        <v>424</v>
      </c>
      <c r="I1" s="30" t="s">
        <v>343</v>
      </c>
      <c r="J1" s="31" t="s">
        <v>426</v>
      </c>
      <c r="K1" s="30" t="s">
        <v>421</v>
      </c>
      <c r="L1" s="30" t="s">
        <v>425</v>
      </c>
      <c r="M1" s="30" t="s">
        <v>422</v>
      </c>
      <c r="N1" s="30" t="s">
        <v>427</v>
      </c>
      <c r="O1" s="31" t="s">
        <v>423</v>
      </c>
      <c r="P1" s="30" t="s">
        <v>342</v>
      </c>
    </row>
    <row r="2" spans="1:16" ht="16.5" thickTop="1" thickBot="1" x14ac:dyDescent="0.3">
      <c r="A2" s="98" t="str">
        <f>CONCATENATE(Tableau4[[#This Row],[CODE COM]],"_",Tableau4[[#This Row],[COULEUR]],"_",Tableau4[[#This Row],[CODE FAB]],"_",Tableau4[[#This Row],[Num de Lot]])</f>
        <v>C01_BLANC_NM05-01.00_S2023</v>
      </c>
      <c r="B2" s="99" t="s">
        <v>119</v>
      </c>
      <c r="C2" s="99" t="s">
        <v>308</v>
      </c>
      <c r="D2" s="99" t="s">
        <v>307</v>
      </c>
      <c r="E2" s="99" t="s">
        <v>309</v>
      </c>
      <c r="F2" s="99" t="s">
        <v>69</v>
      </c>
      <c r="G2" s="99" t="s">
        <v>431</v>
      </c>
      <c r="H2" s="100">
        <v>0</v>
      </c>
      <c r="I2" s="101">
        <v>0</v>
      </c>
      <c r="J2" s="102">
        <v>0</v>
      </c>
      <c r="K2" s="101">
        <v>0</v>
      </c>
      <c r="L2" s="102">
        <v>0</v>
      </c>
      <c r="M2" s="101">
        <v>0</v>
      </c>
      <c r="N2" s="102">
        <v>0</v>
      </c>
      <c r="O2" s="101">
        <v>0</v>
      </c>
      <c r="P2" s="101">
        <v>0</v>
      </c>
    </row>
    <row r="3" spans="1:16" ht="16.5" thickTop="1" thickBot="1" x14ac:dyDescent="0.3">
      <c r="A3" s="103" t="str">
        <f>CONCATENATE(Tableau4[[#This Row],[CODE COM]],"_",Tableau4[[#This Row],[COULEUR]],"_",Tableau4[[#This Row],[CODE FAB]],"_",Tableau4[[#This Row],[Num de Lot]])</f>
        <v>C01_BLANC_NM12-01.00_S2023</v>
      </c>
      <c r="B3" s="99" t="s">
        <v>257</v>
      </c>
      <c r="C3" s="99" t="s">
        <v>308</v>
      </c>
      <c r="D3" s="99" t="s">
        <v>307</v>
      </c>
      <c r="E3" s="99" t="s">
        <v>341</v>
      </c>
      <c r="F3" s="99" t="s">
        <v>69</v>
      </c>
      <c r="G3" s="99" t="s">
        <v>431</v>
      </c>
      <c r="H3" s="100">
        <v>0</v>
      </c>
      <c r="I3" s="101">
        <v>0</v>
      </c>
      <c r="J3" s="102">
        <v>0</v>
      </c>
      <c r="K3" s="101">
        <v>0</v>
      </c>
      <c r="L3" s="102">
        <v>0</v>
      </c>
      <c r="M3" s="101">
        <v>0</v>
      </c>
      <c r="N3" s="102">
        <v>0</v>
      </c>
      <c r="O3" s="101">
        <v>0</v>
      </c>
      <c r="P3" s="101">
        <v>0</v>
      </c>
    </row>
    <row r="4" spans="1:16" ht="16.5" thickTop="1" thickBot="1" x14ac:dyDescent="0.3">
      <c r="A4" s="103" t="str">
        <f>CONCATENATE(Tableau4[[#This Row],[CODE COM]],"_",Tableau4[[#This Row],[COULEUR]],"_",Tableau4[[#This Row],[CODE FAB]],"_",Tableau4[[#This Row],[Num de Lot]])</f>
        <v>C01_BLANC_NM15-01.00_62721</v>
      </c>
      <c r="B4" s="99" t="s">
        <v>103</v>
      </c>
      <c r="C4" s="99" t="s">
        <v>308</v>
      </c>
      <c r="D4" s="99" t="s">
        <v>307</v>
      </c>
      <c r="E4" s="99" t="s">
        <v>306</v>
      </c>
      <c r="F4" s="99">
        <v>62721</v>
      </c>
      <c r="G4" s="99" t="s">
        <v>431</v>
      </c>
      <c r="H4" s="100">
        <v>0</v>
      </c>
      <c r="I4" s="101">
        <v>0</v>
      </c>
      <c r="J4" s="102">
        <v>0</v>
      </c>
      <c r="K4" s="101">
        <v>0</v>
      </c>
      <c r="L4" s="102">
        <v>0</v>
      </c>
      <c r="M4" s="101">
        <v>0</v>
      </c>
      <c r="N4" s="102">
        <v>0</v>
      </c>
      <c r="O4" s="101">
        <v>0</v>
      </c>
      <c r="P4" s="101">
        <v>0</v>
      </c>
    </row>
    <row r="5" spans="1:16" ht="16.5" thickTop="1" thickBot="1" x14ac:dyDescent="0.3">
      <c r="A5" s="103" t="str">
        <f>CONCATENATE(Tableau4[[#This Row],[CODE COM]],"_",Tableau4[[#This Row],[COULEUR]],"_",Tableau4[[#This Row],[CODE FAB]],"_",Tableau4[[#This Row],[Num de Lot]])</f>
        <v>C01_BLANC_NM15-01.00_63555</v>
      </c>
      <c r="B5" s="99" t="s">
        <v>103</v>
      </c>
      <c r="C5" s="99" t="s">
        <v>308</v>
      </c>
      <c r="D5" s="99" t="s">
        <v>307</v>
      </c>
      <c r="E5" s="99" t="s">
        <v>306</v>
      </c>
      <c r="F5" s="99">
        <v>63555</v>
      </c>
      <c r="G5" s="99" t="s">
        <v>431</v>
      </c>
      <c r="H5" s="100">
        <v>0</v>
      </c>
      <c r="I5" s="101">
        <v>0</v>
      </c>
      <c r="J5" s="102">
        <v>0</v>
      </c>
      <c r="K5" s="101">
        <v>3076.2</v>
      </c>
      <c r="L5" s="102">
        <v>0</v>
      </c>
      <c r="M5" s="101">
        <v>0</v>
      </c>
      <c r="N5" s="102">
        <v>0</v>
      </c>
      <c r="O5" s="101">
        <v>0</v>
      </c>
      <c r="P5" s="101">
        <v>3076.2</v>
      </c>
    </row>
    <row r="6" spans="1:16" ht="16.5" thickTop="1" thickBot="1" x14ac:dyDescent="0.3">
      <c r="A6" s="103" t="str">
        <f>CONCATENATE(Tableau4[[#This Row],[CODE COM]],"_",Tableau4[[#This Row],[COULEUR]],"_",Tableau4[[#This Row],[CODE FAB]],"_",Tableau4[[#This Row],[Num de Lot]])</f>
        <v>C01_BLANC_NM15-01.00_63577</v>
      </c>
      <c r="B6" s="99" t="s">
        <v>103</v>
      </c>
      <c r="C6" s="99" t="s">
        <v>308</v>
      </c>
      <c r="D6" s="99" t="s">
        <v>307</v>
      </c>
      <c r="E6" s="99" t="s">
        <v>306</v>
      </c>
      <c r="F6" s="99">
        <v>63577</v>
      </c>
      <c r="G6" s="99" t="s">
        <v>431</v>
      </c>
      <c r="H6" s="100">
        <v>0</v>
      </c>
      <c r="I6" s="101">
        <v>0</v>
      </c>
      <c r="J6" s="102">
        <v>0</v>
      </c>
      <c r="K6" s="101">
        <v>3083.7</v>
      </c>
      <c r="L6" s="102">
        <v>0</v>
      </c>
      <c r="M6" s="101">
        <v>0</v>
      </c>
      <c r="N6" s="102">
        <v>0</v>
      </c>
      <c r="O6" s="101">
        <v>0</v>
      </c>
      <c r="P6" s="101">
        <v>3083.7</v>
      </c>
    </row>
    <row r="7" spans="1:16" ht="16.5" thickTop="1" thickBot="1" x14ac:dyDescent="0.3">
      <c r="A7" s="103" t="str">
        <f>CONCATENATE(Tableau4[[#This Row],[CODE COM]],"_",Tableau4[[#This Row],[COULEUR]],"_",Tableau4[[#This Row],[CODE FAB]],"_",Tableau4[[#This Row],[Num de Lot]])</f>
        <v>C01_BLANC_NM20-01.00_S2023</v>
      </c>
      <c r="B7" s="99" t="s">
        <v>82</v>
      </c>
      <c r="C7" s="99" t="s">
        <v>308</v>
      </c>
      <c r="D7" s="99" t="s">
        <v>307</v>
      </c>
      <c r="E7" s="99" t="s">
        <v>340</v>
      </c>
      <c r="F7" s="99" t="s">
        <v>69</v>
      </c>
      <c r="G7" s="99" t="s">
        <v>431</v>
      </c>
      <c r="H7" s="100">
        <v>0</v>
      </c>
      <c r="I7" s="101">
        <v>0</v>
      </c>
      <c r="J7" s="102">
        <v>0</v>
      </c>
      <c r="K7" s="101">
        <v>0</v>
      </c>
      <c r="L7" s="102">
        <v>0</v>
      </c>
      <c r="M7" s="101">
        <v>0</v>
      </c>
      <c r="N7" s="102">
        <v>0</v>
      </c>
      <c r="O7" s="101">
        <v>0</v>
      </c>
      <c r="P7" s="101">
        <v>0</v>
      </c>
    </row>
    <row r="8" spans="1:16" ht="16.5" thickTop="1" thickBot="1" x14ac:dyDescent="0.3">
      <c r="A8" s="103" t="str">
        <f>CONCATENATE(Tableau4[[#This Row],[CODE COM]],"_",Tableau4[[#This Row],[COULEUR]],"_",Tableau4[[#This Row],[CODE FAB]],"_",Tableau4[[#This Row],[Num de Lot]])</f>
        <v>C01_BLANC_NM30-01.00_S2023</v>
      </c>
      <c r="B8" s="99" t="s">
        <v>339</v>
      </c>
      <c r="C8" s="99" t="s">
        <v>308</v>
      </c>
      <c r="D8" s="99" t="s">
        <v>307</v>
      </c>
      <c r="E8" s="99" t="s">
        <v>338</v>
      </c>
      <c r="F8" s="99" t="s">
        <v>69</v>
      </c>
      <c r="G8" s="99" t="s">
        <v>431</v>
      </c>
      <c r="H8" s="100">
        <v>0</v>
      </c>
      <c r="I8" s="101">
        <v>0</v>
      </c>
      <c r="J8" s="102">
        <v>0</v>
      </c>
      <c r="K8" s="101">
        <v>0</v>
      </c>
      <c r="L8" s="102">
        <v>0</v>
      </c>
      <c r="M8" s="101">
        <v>0</v>
      </c>
      <c r="N8" s="102">
        <v>0</v>
      </c>
      <c r="O8" s="101">
        <v>0</v>
      </c>
      <c r="P8" s="101">
        <v>0</v>
      </c>
    </row>
    <row r="9" spans="1:16" ht="16.5" thickTop="1" thickBot="1" x14ac:dyDescent="0.3">
      <c r="A9" s="103" t="str">
        <f>CONCATENATE(Tableau4[[#This Row],[CODE COM]],"_",Tableau4[[#This Row],[COULEUR]],"_",Tableau4[[#This Row],[CODE FAB]],"_",Tableau4[[#This Row],[Num de Lot]])</f>
        <v>C02_ECRU_NM05-02.00_58733</v>
      </c>
      <c r="B9" s="99" t="s">
        <v>119</v>
      </c>
      <c r="C9" s="99" t="s">
        <v>299</v>
      </c>
      <c r="D9" s="99" t="s">
        <v>298</v>
      </c>
      <c r="E9" s="99" t="s">
        <v>305</v>
      </c>
      <c r="F9" s="99">
        <v>58733</v>
      </c>
      <c r="G9" s="99" t="s">
        <v>431</v>
      </c>
      <c r="H9" s="100">
        <v>0</v>
      </c>
      <c r="I9" s="101">
        <v>0</v>
      </c>
      <c r="J9" s="102">
        <v>0</v>
      </c>
      <c r="K9" s="101">
        <v>0</v>
      </c>
      <c r="L9" s="102">
        <v>318</v>
      </c>
      <c r="M9" s="101">
        <v>1113</v>
      </c>
      <c r="N9" s="102">
        <v>0</v>
      </c>
      <c r="O9" s="101">
        <v>0</v>
      </c>
      <c r="P9" s="101">
        <v>1113</v>
      </c>
    </row>
    <row r="10" spans="1:16" ht="16.5" thickTop="1" thickBot="1" x14ac:dyDescent="0.3">
      <c r="A10" s="103" t="str">
        <f>CONCATENATE(Tableau4[[#This Row],[CODE COM]],"_",Tableau4[[#This Row],[COULEUR]],"_",Tableau4[[#This Row],[CODE FAB]],"_",Tableau4[[#This Row],[Num de Lot]])</f>
        <v>C02_ECRU_NM05-02.00_59839</v>
      </c>
      <c r="B10" s="99" t="s">
        <v>119</v>
      </c>
      <c r="C10" s="99" t="s">
        <v>299</v>
      </c>
      <c r="D10" s="99" t="s">
        <v>298</v>
      </c>
      <c r="E10" s="99" t="s">
        <v>305</v>
      </c>
      <c r="F10" s="99">
        <v>59839</v>
      </c>
      <c r="G10" s="99" t="s">
        <v>431</v>
      </c>
      <c r="H10" s="100">
        <v>0</v>
      </c>
      <c r="I10" s="101">
        <v>0</v>
      </c>
      <c r="J10" s="102">
        <v>0</v>
      </c>
      <c r="K10" s="101">
        <v>0</v>
      </c>
      <c r="L10" s="102">
        <v>3</v>
      </c>
      <c r="M10" s="101">
        <v>10.5</v>
      </c>
      <c r="N10" s="102">
        <v>0</v>
      </c>
      <c r="O10" s="101">
        <v>0</v>
      </c>
      <c r="P10" s="101">
        <v>10.5</v>
      </c>
    </row>
    <row r="11" spans="1:16" ht="16.5" thickTop="1" thickBot="1" x14ac:dyDescent="0.3">
      <c r="A11" s="103" t="str">
        <f>CONCATENATE(Tableau4[[#This Row],[CODE COM]],"_",Tableau4[[#This Row],[COULEUR]],"_",Tableau4[[#This Row],[CODE FAB]],"_",Tableau4[[#This Row],[Num de Lot]])</f>
        <v>C02_ECRU_NM05-02.00_60083</v>
      </c>
      <c r="B11" s="99" t="s">
        <v>119</v>
      </c>
      <c r="C11" s="99" t="s">
        <v>299</v>
      </c>
      <c r="D11" s="99" t="s">
        <v>298</v>
      </c>
      <c r="E11" s="99" t="s">
        <v>305</v>
      </c>
      <c r="F11" s="99">
        <v>60083</v>
      </c>
      <c r="G11" s="99" t="s">
        <v>431</v>
      </c>
      <c r="H11" s="100">
        <v>0</v>
      </c>
      <c r="I11" s="101">
        <v>14</v>
      </c>
      <c r="J11" s="102">
        <v>0</v>
      </c>
      <c r="K11" s="101">
        <v>0</v>
      </c>
      <c r="L11" s="102">
        <v>313</v>
      </c>
      <c r="M11" s="101">
        <v>1095.5</v>
      </c>
      <c r="N11" s="102">
        <v>0</v>
      </c>
      <c r="O11" s="101">
        <v>0</v>
      </c>
      <c r="P11" s="101">
        <v>1109.5</v>
      </c>
    </row>
    <row r="12" spans="1:16" ht="16.5" thickTop="1" thickBot="1" x14ac:dyDescent="0.3">
      <c r="A12" s="103" t="str">
        <f>CONCATENATE(Tableau4[[#This Row],[CODE COM]],"_",Tableau4[[#This Row],[COULEUR]],"_",Tableau4[[#This Row],[CODE FAB]],"_",Tableau4[[#This Row],[Num de Lot]])</f>
        <v>C02_ECRU_NM05-02.00_60473</v>
      </c>
      <c r="B12" s="99" t="s">
        <v>119</v>
      </c>
      <c r="C12" s="99" t="s">
        <v>299</v>
      </c>
      <c r="D12" s="99" t="s">
        <v>298</v>
      </c>
      <c r="E12" s="99" t="s">
        <v>305</v>
      </c>
      <c r="F12" s="99">
        <v>60473</v>
      </c>
      <c r="G12" s="99" t="s">
        <v>431</v>
      </c>
      <c r="H12" s="100">
        <v>0</v>
      </c>
      <c r="I12" s="101">
        <v>0</v>
      </c>
      <c r="J12" s="102">
        <v>0</v>
      </c>
      <c r="K12" s="101">
        <v>0</v>
      </c>
      <c r="L12" s="102">
        <v>340</v>
      </c>
      <c r="M12" s="101">
        <v>1190</v>
      </c>
      <c r="N12" s="102">
        <v>648</v>
      </c>
      <c r="O12" s="101">
        <v>2268</v>
      </c>
      <c r="P12" s="101">
        <v>3458</v>
      </c>
    </row>
    <row r="13" spans="1:16" ht="16.5" thickTop="1" thickBot="1" x14ac:dyDescent="0.3">
      <c r="A13" s="103" t="str">
        <f>CONCATENATE(Tableau4[[#This Row],[CODE COM]],"_",Tableau4[[#This Row],[COULEUR]],"_",Tableau4[[#This Row],[CODE FAB]],"_",Tableau4[[#This Row],[Num de Lot]])</f>
        <v>C02_ECRU_NM05-02.00_60530</v>
      </c>
      <c r="B13" s="99" t="s">
        <v>119</v>
      </c>
      <c r="C13" s="99" t="s">
        <v>299</v>
      </c>
      <c r="D13" s="99" t="s">
        <v>298</v>
      </c>
      <c r="E13" s="99" t="s">
        <v>305</v>
      </c>
      <c r="F13" s="99">
        <v>60530</v>
      </c>
      <c r="G13" s="99" t="s">
        <v>431</v>
      </c>
      <c r="H13" s="100">
        <v>0</v>
      </c>
      <c r="I13" s="101">
        <v>0</v>
      </c>
      <c r="J13" s="102">
        <v>0</v>
      </c>
      <c r="K13" s="101">
        <v>0</v>
      </c>
      <c r="L13" s="102">
        <v>109</v>
      </c>
      <c r="M13" s="101">
        <v>381.5</v>
      </c>
      <c r="N13" s="102">
        <v>0</v>
      </c>
      <c r="O13" s="101">
        <v>0</v>
      </c>
      <c r="P13" s="101">
        <v>381.5</v>
      </c>
    </row>
    <row r="14" spans="1:16" ht="16.5" thickTop="1" thickBot="1" x14ac:dyDescent="0.3">
      <c r="A14" s="103" t="str">
        <f>CONCATENATE(Tableau4[[#This Row],[CODE COM]],"_",Tableau4[[#This Row],[COULEUR]],"_",Tableau4[[#This Row],[CODE FAB]],"_",Tableau4[[#This Row],[Num de Lot]])</f>
        <v>C02_ECRU_NM05-02.01_S2023</v>
      </c>
      <c r="B14" s="99" t="s">
        <v>119</v>
      </c>
      <c r="C14" s="99" t="s">
        <v>299</v>
      </c>
      <c r="D14" s="99" t="s">
        <v>298</v>
      </c>
      <c r="E14" s="99" t="s">
        <v>304</v>
      </c>
      <c r="F14" s="99" t="s">
        <v>69</v>
      </c>
      <c r="G14" s="99" t="s">
        <v>431</v>
      </c>
      <c r="H14" s="100">
        <v>0</v>
      </c>
      <c r="I14" s="101">
        <v>0</v>
      </c>
      <c r="J14" s="102">
        <v>0</v>
      </c>
      <c r="K14" s="101">
        <v>0</v>
      </c>
      <c r="L14" s="102">
        <v>0</v>
      </c>
      <c r="M14" s="101">
        <v>0</v>
      </c>
      <c r="N14" s="102">
        <v>0</v>
      </c>
      <c r="O14" s="101">
        <v>0</v>
      </c>
      <c r="P14" s="101">
        <v>0</v>
      </c>
    </row>
    <row r="15" spans="1:16" ht="16.5" thickTop="1" thickBot="1" x14ac:dyDescent="0.3">
      <c r="A15" s="103" t="str">
        <f>CONCATENATE(Tableau4[[#This Row],[CODE COM]],"_",Tableau4[[#This Row],[COULEUR]],"_",Tableau4[[#This Row],[CODE FAB]],"_",Tableau4[[#This Row],[Num de Lot]])</f>
        <v>C02_ECRU_NM10-02.00_S2023</v>
      </c>
      <c r="B15" s="99" t="s">
        <v>116</v>
      </c>
      <c r="C15" s="99" t="s">
        <v>299</v>
      </c>
      <c r="D15" s="99" t="s">
        <v>298</v>
      </c>
      <c r="E15" s="99" t="s">
        <v>303</v>
      </c>
      <c r="F15" s="99" t="s">
        <v>69</v>
      </c>
      <c r="G15" s="99" t="s">
        <v>431</v>
      </c>
      <c r="H15" s="100">
        <v>0</v>
      </c>
      <c r="I15" s="101">
        <v>0</v>
      </c>
      <c r="J15" s="102">
        <v>0</v>
      </c>
      <c r="K15" s="101">
        <v>0</v>
      </c>
      <c r="L15" s="102">
        <v>0</v>
      </c>
      <c r="M15" s="101">
        <v>0</v>
      </c>
      <c r="N15" s="102">
        <v>0</v>
      </c>
      <c r="O15" s="101">
        <v>0</v>
      </c>
      <c r="P15" s="101">
        <v>0</v>
      </c>
    </row>
    <row r="16" spans="1:16" ht="16.5" thickTop="1" thickBot="1" x14ac:dyDescent="0.3">
      <c r="A16" s="103" t="str">
        <f>CONCATENATE(Tableau4[[#This Row],[CODE COM]],"_",Tableau4[[#This Row],[COULEUR]],"_",Tableau4[[#This Row],[CODE FAB]],"_",Tableau4[[#This Row],[Num de Lot]])</f>
        <v>C02_ECRU_NM12-02.00_S2023</v>
      </c>
      <c r="B16" s="99" t="s">
        <v>257</v>
      </c>
      <c r="C16" s="99" t="s">
        <v>299</v>
      </c>
      <c r="D16" s="99" t="s">
        <v>298</v>
      </c>
      <c r="E16" s="99" t="s">
        <v>302</v>
      </c>
      <c r="F16" s="99" t="s">
        <v>69</v>
      </c>
      <c r="G16" s="99" t="s">
        <v>431</v>
      </c>
      <c r="H16" s="100">
        <v>0</v>
      </c>
      <c r="I16" s="101">
        <v>0</v>
      </c>
      <c r="J16" s="102">
        <v>0</v>
      </c>
      <c r="K16" s="101">
        <v>0</v>
      </c>
      <c r="L16" s="102">
        <v>0</v>
      </c>
      <c r="M16" s="101">
        <v>0</v>
      </c>
      <c r="N16" s="102">
        <v>0</v>
      </c>
      <c r="O16" s="101">
        <v>0</v>
      </c>
      <c r="P16" s="101">
        <v>0</v>
      </c>
    </row>
    <row r="17" spans="1:16" ht="16.5" thickTop="1" thickBot="1" x14ac:dyDescent="0.3">
      <c r="A17" s="103" t="str">
        <f>CONCATENATE(Tableau4[[#This Row],[CODE COM]],"_",Tableau4[[#This Row],[COULEUR]],"_",Tableau4[[#This Row],[CODE FAB]],"_",Tableau4[[#This Row],[Num de Lot]])</f>
        <v>C02_ECRU_NM15-02.00_61424</v>
      </c>
      <c r="B17" s="99" t="s">
        <v>103</v>
      </c>
      <c r="C17" s="99" t="s">
        <v>299</v>
      </c>
      <c r="D17" s="99" t="s">
        <v>298</v>
      </c>
      <c r="E17" s="99" t="s">
        <v>301</v>
      </c>
      <c r="F17" s="99">
        <v>61424</v>
      </c>
      <c r="G17" s="99" t="s">
        <v>431</v>
      </c>
      <c r="H17" s="100">
        <v>0</v>
      </c>
      <c r="I17" s="101">
        <v>1.7</v>
      </c>
      <c r="J17" s="102">
        <v>0</v>
      </c>
      <c r="K17" s="101">
        <v>0</v>
      </c>
      <c r="L17" s="102">
        <v>0</v>
      </c>
      <c r="M17" s="101">
        <v>0</v>
      </c>
      <c r="N17" s="102">
        <v>0</v>
      </c>
      <c r="O17" s="101">
        <v>0</v>
      </c>
      <c r="P17" s="101">
        <v>1.7</v>
      </c>
    </row>
    <row r="18" spans="1:16" ht="16.5" thickTop="1" thickBot="1" x14ac:dyDescent="0.3">
      <c r="A18" s="103" t="str">
        <f>CONCATENATE(Tableau4[[#This Row],[CODE COM]],"_",Tableau4[[#This Row],[COULEUR]],"_",Tableau4[[#This Row],[CODE FAB]],"_",Tableau4[[#This Row],[Num de Lot]])</f>
        <v>C02_Ecru_NM15-02.00_65324</v>
      </c>
      <c r="B18" s="99" t="s">
        <v>103</v>
      </c>
      <c r="C18" s="99" t="s">
        <v>96</v>
      </c>
      <c r="D18" s="99" t="s">
        <v>298</v>
      </c>
      <c r="E18" s="99" t="s">
        <v>301</v>
      </c>
      <c r="F18" s="99">
        <v>65324</v>
      </c>
      <c r="G18" s="99" t="s">
        <v>431</v>
      </c>
      <c r="H18" s="100">
        <v>0</v>
      </c>
      <c r="I18" s="101">
        <v>0</v>
      </c>
      <c r="J18" s="102">
        <v>0</v>
      </c>
      <c r="K18" s="101">
        <v>4167.33</v>
      </c>
      <c r="L18" s="102">
        <v>0</v>
      </c>
      <c r="M18" s="101">
        <v>0</v>
      </c>
      <c r="N18" s="102">
        <v>0</v>
      </c>
      <c r="O18" s="101">
        <v>0</v>
      </c>
      <c r="P18" s="101">
        <v>4167.33</v>
      </c>
    </row>
    <row r="19" spans="1:16" ht="16.5" thickTop="1" thickBot="1" x14ac:dyDescent="0.3">
      <c r="A19" s="103" t="str">
        <f>CONCATENATE(Tableau4[[#This Row],[CODE COM]],"_",Tableau4[[#This Row],[COULEUR]],"_",Tableau4[[#This Row],[CODE FAB]],"_",Tableau4[[#This Row],[Num de Lot]])</f>
        <v>C02_ECRU_NM20-02.00_S2023</v>
      </c>
      <c r="B19" s="99" t="s">
        <v>82</v>
      </c>
      <c r="C19" s="99" t="s">
        <v>299</v>
      </c>
      <c r="D19" s="99" t="s">
        <v>298</v>
      </c>
      <c r="E19" s="99" t="s">
        <v>300</v>
      </c>
      <c r="F19" s="99" t="s">
        <v>69</v>
      </c>
      <c r="G19" s="99" t="s">
        <v>431</v>
      </c>
      <c r="H19" s="100">
        <v>0</v>
      </c>
      <c r="I19" s="101">
        <v>21</v>
      </c>
      <c r="J19" s="102">
        <v>0</v>
      </c>
      <c r="K19" s="101">
        <v>0</v>
      </c>
      <c r="L19" s="102">
        <v>0</v>
      </c>
      <c r="M19" s="101">
        <v>0</v>
      </c>
      <c r="N19" s="102">
        <v>0</v>
      </c>
      <c r="O19" s="101">
        <v>0</v>
      </c>
      <c r="P19" s="101">
        <v>21</v>
      </c>
    </row>
    <row r="20" spans="1:16" ht="16.5" thickTop="1" thickBot="1" x14ac:dyDescent="0.3">
      <c r="A20" s="103" t="str">
        <f>CONCATENATE(Tableau4[[#This Row],[CODE COM]],"_",Tableau4[[#This Row],[COULEUR]],"_",Tableau4[[#This Row],[CODE FAB]],"_",Tableau4[[#This Row],[Num de Lot]])</f>
        <v>C02_ECRU_NM34-02.00_S2024</v>
      </c>
      <c r="B20" s="99" t="s">
        <v>179</v>
      </c>
      <c r="C20" s="99" t="s">
        <v>299</v>
      </c>
      <c r="D20" s="99" t="s">
        <v>298</v>
      </c>
      <c r="E20" s="99" t="s">
        <v>297</v>
      </c>
      <c r="F20" s="99" t="s">
        <v>175</v>
      </c>
      <c r="G20" s="99" t="s">
        <v>431</v>
      </c>
      <c r="H20" s="100">
        <v>0</v>
      </c>
      <c r="I20" s="101">
        <v>267</v>
      </c>
      <c r="J20" s="102">
        <v>0</v>
      </c>
      <c r="K20" s="101">
        <v>0</v>
      </c>
      <c r="L20" s="102">
        <v>0</v>
      </c>
      <c r="M20" s="101">
        <v>0</v>
      </c>
      <c r="N20" s="102">
        <v>0</v>
      </c>
      <c r="O20" s="101">
        <v>0</v>
      </c>
      <c r="P20" s="101">
        <v>267</v>
      </c>
    </row>
    <row r="21" spans="1:16" ht="16.5" thickTop="1" thickBot="1" x14ac:dyDescent="0.3">
      <c r="A21" s="103" t="str">
        <f>CONCATENATE(Tableau4[[#This Row],[CODE COM]],"_",Tableau4[[#This Row],[COULEUR]],"_",Tableau4[[#This Row],[CODE FAB]],"_",Tableau4[[#This Row],[Num de Lot]])</f>
        <v>C03_BEIGE _NM05-03.00_53005</v>
      </c>
      <c r="B21" s="99" t="s">
        <v>119</v>
      </c>
      <c r="C21" s="99" t="s">
        <v>290</v>
      </c>
      <c r="D21" s="99" t="s">
        <v>287</v>
      </c>
      <c r="E21" s="99" t="s">
        <v>296</v>
      </c>
      <c r="F21" s="99">
        <v>53005</v>
      </c>
      <c r="G21" s="99" t="s">
        <v>431</v>
      </c>
      <c r="H21" s="100">
        <v>0</v>
      </c>
      <c r="I21" s="101">
        <v>0</v>
      </c>
      <c r="J21" s="102">
        <v>0</v>
      </c>
      <c r="K21" s="101">
        <v>0</v>
      </c>
      <c r="L21" s="102">
        <v>132</v>
      </c>
      <c r="M21" s="101">
        <v>462</v>
      </c>
      <c r="N21" s="102">
        <v>0</v>
      </c>
      <c r="O21" s="101">
        <v>0</v>
      </c>
      <c r="P21" s="101">
        <v>462</v>
      </c>
    </row>
    <row r="22" spans="1:16" ht="16.5" thickTop="1" thickBot="1" x14ac:dyDescent="0.3">
      <c r="A22" s="103" t="str">
        <f>CONCATENATE(Tableau4[[#This Row],[CODE COM]],"_",Tableau4[[#This Row],[COULEUR]],"_",Tableau4[[#This Row],[CODE FAB]],"_",Tableau4[[#This Row],[Num de Lot]])</f>
        <v>C03_BEIGE CLAIR_NM05-03.01_58783</v>
      </c>
      <c r="B22" s="99" t="s">
        <v>119</v>
      </c>
      <c r="C22" s="99" t="s">
        <v>293</v>
      </c>
      <c r="D22" s="99" t="s">
        <v>287</v>
      </c>
      <c r="E22" s="99" t="s">
        <v>295</v>
      </c>
      <c r="F22" s="99">
        <v>58783</v>
      </c>
      <c r="G22" s="99" t="s">
        <v>431</v>
      </c>
      <c r="H22" s="100">
        <v>42</v>
      </c>
      <c r="I22" s="101">
        <v>147</v>
      </c>
      <c r="J22" s="102">
        <v>0</v>
      </c>
      <c r="K22" s="101">
        <v>0</v>
      </c>
      <c r="L22" s="102">
        <v>0</v>
      </c>
      <c r="M22" s="101">
        <v>0</v>
      </c>
      <c r="N22" s="102">
        <v>0</v>
      </c>
      <c r="O22" s="101">
        <v>0</v>
      </c>
      <c r="P22" s="101">
        <v>147</v>
      </c>
    </row>
    <row r="23" spans="1:16" ht="16.5" thickTop="1" thickBot="1" x14ac:dyDescent="0.3">
      <c r="A23" s="103" t="str">
        <f>CONCATENATE(Tableau4[[#This Row],[CODE COM]],"_",Tableau4[[#This Row],[COULEUR]],"_",Tableau4[[#This Row],[CODE FAB]],"_",Tableau4[[#This Row],[Num de Lot]])</f>
        <v>C03_BEIGE CLAIR_NM05-03.03_59648</v>
      </c>
      <c r="B23" s="99" t="s">
        <v>119</v>
      </c>
      <c r="C23" s="99" t="s">
        <v>293</v>
      </c>
      <c r="D23" s="99" t="s">
        <v>287</v>
      </c>
      <c r="E23" s="99" t="s">
        <v>292</v>
      </c>
      <c r="F23" s="99">
        <v>59648</v>
      </c>
      <c r="G23" s="99" t="s">
        <v>431</v>
      </c>
      <c r="H23" s="100">
        <v>39</v>
      </c>
      <c r="I23" s="101">
        <v>147.05000000000001</v>
      </c>
      <c r="J23" s="102">
        <v>0</v>
      </c>
      <c r="K23" s="101">
        <v>0</v>
      </c>
      <c r="L23" s="102">
        <v>0</v>
      </c>
      <c r="M23" s="101">
        <v>0</v>
      </c>
      <c r="N23" s="102">
        <v>0</v>
      </c>
      <c r="O23" s="101">
        <v>0</v>
      </c>
      <c r="P23" s="101">
        <v>147.05000000000001</v>
      </c>
    </row>
    <row r="24" spans="1:16" ht="16.5" thickTop="1" thickBot="1" x14ac:dyDescent="0.3">
      <c r="A24" s="103" t="str">
        <f>CONCATENATE(Tableau4[[#This Row],[CODE COM]],"_",Tableau4[[#This Row],[COULEUR]],"_",Tableau4[[#This Row],[CODE FAB]],"_",Tableau4[[#This Row],[Num de Lot]])</f>
        <v>C03_BEIGE _NM05-03.00_59816</v>
      </c>
      <c r="B24" s="99" t="s">
        <v>119</v>
      </c>
      <c r="C24" s="99" t="s">
        <v>290</v>
      </c>
      <c r="D24" s="99" t="s">
        <v>287</v>
      </c>
      <c r="E24" s="99" t="s">
        <v>296</v>
      </c>
      <c r="F24" s="99">
        <v>59816</v>
      </c>
      <c r="G24" s="99" t="s">
        <v>431</v>
      </c>
      <c r="H24" s="100">
        <v>0</v>
      </c>
      <c r="I24" s="101">
        <v>0</v>
      </c>
      <c r="J24" s="102">
        <v>0</v>
      </c>
      <c r="K24" s="101">
        <v>0</v>
      </c>
      <c r="L24" s="102">
        <v>270</v>
      </c>
      <c r="M24" s="101">
        <v>945</v>
      </c>
      <c r="N24" s="102">
        <v>171</v>
      </c>
      <c r="O24" s="101">
        <v>598.5</v>
      </c>
      <c r="P24" s="101">
        <v>1543.5</v>
      </c>
    </row>
    <row r="25" spans="1:16" ht="16.5" thickTop="1" thickBot="1" x14ac:dyDescent="0.3">
      <c r="A25" s="103" t="str">
        <f>CONCATENATE(Tableau4[[#This Row],[CODE COM]],"_",Tableau4[[#This Row],[COULEUR]],"_",Tableau4[[#This Row],[CODE FAB]],"_",Tableau4[[#This Row],[Num de Lot]])</f>
        <v>C03_BEIGE CLAIR_NM05-03.02_S2023</v>
      </c>
      <c r="B25" s="99" t="s">
        <v>119</v>
      </c>
      <c r="C25" s="99" t="s">
        <v>293</v>
      </c>
      <c r="D25" s="99" t="s">
        <v>287</v>
      </c>
      <c r="E25" s="99" t="s">
        <v>294</v>
      </c>
      <c r="F25" s="99" t="s">
        <v>69</v>
      </c>
      <c r="G25" s="99" t="s">
        <v>431</v>
      </c>
      <c r="H25" s="100">
        <v>0</v>
      </c>
      <c r="I25" s="101">
        <v>0</v>
      </c>
      <c r="J25" s="102">
        <v>0</v>
      </c>
      <c r="K25" s="101">
        <v>0</v>
      </c>
      <c r="L25" s="102">
        <v>0</v>
      </c>
      <c r="M25" s="101">
        <v>0</v>
      </c>
      <c r="N25" s="102">
        <v>0</v>
      </c>
      <c r="O25" s="101">
        <v>0</v>
      </c>
      <c r="P25" s="101">
        <v>0</v>
      </c>
    </row>
    <row r="26" spans="1:16" ht="16.5" thickTop="1" thickBot="1" x14ac:dyDescent="0.3">
      <c r="A26" s="103" t="str">
        <f>CONCATENATE(Tableau4[[#This Row],[CODE COM]],"_",Tableau4[[#This Row],[COULEUR]],"_",Tableau4[[#This Row],[CODE FAB]],"_",Tableau4[[#This Row],[Num de Lot]])</f>
        <v>C03_BEIGE KALK_NM05-03.04_S2023</v>
      </c>
      <c r="B26" s="99" t="s">
        <v>119</v>
      </c>
      <c r="C26" s="99" t="s">
        <v>337</v>
      </c>
      <c r="D26" s="99" t="s">
        <v>287</v>
      </c>
      <c r="E26" s="99" t="s">
        <v>336</v>
      </c>
      <c r="F26" s="99" t="s">
        <v>69</v>
      </c>
      <c r="G26" s="99" t="s">
        <v>431</v>
      </c>
      <c r="H26" s="100">
        <v>0</v>
      </c>
      <c r="I26" s="101">
        <v>0</v>
      </c>
      <c r="J26" s="102">
        <v>0</v>
      </c>
      <c r="K26" s="101">
        <v>0</v>
      </c>
      <c r="L26" s="102">
        <v>0</v>
      </c>
      <c r="M26" s="101">
        <v>0</v>
      </c>
      <c r="N26" s="102">
        <v>0</v>
      </c>
      <c r="O26" s="101">
        <v>0</v>
      </c>
      <c r="P26" s="101">
        <v>0</v>
      </c>
    </row>
    <row r="27" spans="1:16" ht="16.5" thickTop="1" thickBot="1" x14ac:dyDescent="0.3">
      <c r="A27" s="103" t="str">
        <f>CONCATENATE(Tableau4[[#This Row],[CODE COM]],"_",Tableau4[[#This Row],[COULEUR]],"_",Tableau4[[#This Row],[CODE FAB]],"_",Tableau4[[#This Row],[Num de Lot]])</f>
        <v>C03_BEIGE CREME_NM10-03.00_S2023</v>
      </c>
      <c r="B27" s="99" t="s">
        <v>116</v>
      </c>
      <c r="C27" s="99" t="s">
        <v>335</v>
      </c>
      <c r="D27" s="99" t="s">
        <v>287</v>
      </c>
      <c r="E27" s="99" t="s">
        <v>334</v>
      </c>
      <c r="F27" s="99" t="s">
        <v>69</v>
      </c>
      <c r="G27" s="99" t="s">
        <v>431</v>
      </c>
      <c r="H27" s="100">
        <v>0</v>
      </c>
      <c r="I27" s="101">
        <v>0</v>
      </c>
      <c r="J27" s="102">
        <v>0</v>
      </c>
      <c r="K27" s="101">
        <v>0</v>
      </c>
      <c r="L27" s="102">
        <v>0</v>
      </c>
      <c r="M27" s="101">
        <v>0</v>
      </c>
      <c r="N27" s="102">
        <v>0</v>
      </c>
      <c r="O27" s="101">
        <v>0</v>
      </c>
      <c r="P27" s="101">
        <v>0</v>
      </c>
    </row>
    <row r="28" spans="1:16" ht="16.5" thickTop="1" thickBot="1" x14ac:dyDescent="0.3">
      <c r="A28" s="103" t="str">
        <f>CONCATENATE(Tableau4[[#This Row],[CODE COM]],"_",Tableau4[[#This Row],[COULEUR]],"_",Tableau4[[#This Row],[CODE FAB]],"_",Tableau4[[#This Row],[Num de Lot]])</f>
        <v>C03_BEIGE_NM10-03.01_S2023</v>
      </c>
      <c r="B28" s="99" t="s">
        <v>116</v>
      </c>
      <c r="C28" s="99" t="s">
        <v>333</v>
      </c>
      <c r="D28" s="99" t="s">
        <v>287</v>
      </c>
      <c r="E28" s="99" t="s">
        <v>332</v>
      </c>
      <c r="F28" s="99" t="s">
        <v>69</v>
      </c>
      <c r="G28" s="99" t="s">
        <v>431</v>
      </c>
      <c r="H28" s="100">
        <v>0</v>
      </c>
      <c r="I28" s="101">
        <v>0</v>
      </c>
      <c r="J28" s="102">
        <v>0</v>
      </c>
      <c r="K28" s="101">
        <v>0</v>
      </c>
      <c r="L28" s="102">
        <v>0</v>
      </c>
      <c r="M28" s="101">
        <v>0</v>
      </c>
      <c r="N28" s="102">
        <v>0</v>
      </c>
      <c r="O28" s="101">
        <v>0</v>
      </c>
      <c r="P28" s="101">
        <v>0</v>
      </c>
    </row>
    <row r="29" spans="1:16" ht="16.5" thickTop="1" thickBot="1" x14ac:dyDescent="0.3">
      <c r="A29" s="103" t="str">
        <f>CONCATENATE(Tableau4[[#This Row],[CODE COM]],"_",Tableau4[[#This Row],[COULEUR]],"_",Tableau4[[#This Row],[CODE FAB]],"_",Tableau4[[#This Row],[Num de Lot]])</f>
        <v>C03_BEIGE CLAIRE_NM15-03.00_61559</v>
      </c>
      <c r="B29" s="99" t="s">
        <v>103</v>
      </c>
      <c r="C29" s="99" t="s">
        <v>288</v>
      </c>
      <c r="D29" s="99" t="s">
        <v>287</v>
      </c>
      <c r="E29" s="99" t="s">
        <v>291</v>
      </c>
      <c r="F29" s="99">
        <v>61559</v>
      </c>
      <c r="G29" s="99" t="s">
        <v>431</v>
      </c>
      <c r="H29" s="100">
        <v>0</v>
      </c>
      <c r="I29" s="101">
        <v>3.5</v>
      </c>
      <c r="J29" s="102">
        <v>23</v>
      </c>
      <c r="K29" s="101">
        <v>80.5</v>
      </c>
      <c r="L29" s="102">
        <v>0</v>
      </c>
      <c r="M29" s="101">
        <v>0</v>
      </c>
      <c r="N29" s="102">
        <v>0</v>
      </c>
      <c r="O29" s="101">
        <v>0</v>
      </c>
      <c r="P29" s="101">
        <v>84</v>
      </c>
    </row>
    <row r="30" spans="1:16" ht="16.5" thickTop="1" thickBot="1" x14ac:dyDescent="0.3">
      <c r="A30" s="103" t="str">
        <f>CONCATENATE(Tableau4[[#This Row],[CODE COM]],"_",Tableau4[[#This Row],[COULEUR]],"_",Tableau4[[#This Row],[CODE FAB]],"_",Tableau4[[#This Row],[Num de Lot]])</f>
        <v>C03_BEIGE _NM15-03.01_61559</v>
      </c>
      <c r="B30" s="99" t="s">
        <v>103</v>
      </c>
      <c r="C30" s="99" t="s">
        <v>290</v>
      </c>
      <c r="D30" s="99" t="s">
        <v>287</v>
      </c>
      <c r="E30" s="99" t="s">
        <v>289</v>
      </c>
      <c r="F30" s="99">
        <v>61559</v>
      </c>
      <c r="G30" s="99" t="s">
        <v>431</v>
      </c>
      <c r="H30" s="100">
        <v>0</v>
      </c>
      <c r="I30" s="101">
        <v>3.5</v>
      </c>
      <c r="J30" s="102">
        <v>0</v>
      </c>
      <c r="K30" s="101">
        <v>0</v>
      </c>
      <c r="L30" s="102">
        <v>0</v>
      </c>
      <c r="M30" s="101">
        <v>0</v>
      </c>
      <c r="N30" s="102">
        <v>0</v>
      </c>
      <c r="O30" s="101">
        <v>0</v>
      </c>
      <c r="P30" s="101">
        <v>3.5</v>
      </c>
    </row>
    <row r="31" spans="1:16" ht="16.5" thickTop="1" thickBot="1" x14ac:dyDescent="0.3">
      <c r="A31" s="103" t="str">
        <f>CONCATENATE(Tableau4[[#This Row],[CODE COM]],"_",Tableau4[[#This Row],[COULEUR]],"_",Tableau4[[#This Row],[CODE FAB]],"_",Tableau4[[#This Row],[Num de Lot]])</f>
        <v>C03_BEIGE _NM15-03.01_65313</v>
      </c>
      <c r="B31" s="99" t="s">
        <v>103</v>
      </c>
      <c r="C31" s="99" t="s">
        <v>290</v>
      </c>
      <c r="D31" s="99" t="s">
        <v>287</v>
      </c>
      <c r="E31" s="99" t="s">
        <v>289</v>
      </c>
      <c r="F31" s="99">
        <v>65313</v>
      </c>
      <c r="G31" s="99" t="s">
        <v>431</v>
      </c>
      <c r="H31" s="100">
        <v>0</v>
      </c>
      <c r="I31" s="101">
        <v>0</v>
      </c>
      <c r="J31" s="102">
        <v>0</v>
      </c>
      <c r="K31" s="101">
        <v>2101.04</v>
      </c>
      <c r="L31" s="102">
        <v>0</v>
      </c>
      <c r="M31" s="101">
        <v>0</v>
      </c>
      <c r="N31" s="102">
        <v>0</v>
      </c>
      <c r="O31" s="101">
        <v>0</v>
      </c>
      <c r="P31" s="101">
        <v>2101.04</v>
      </c>
    </row>
    <row r="32" spans="1:16" ht="16.5" thickTop="1" thickBot="1" x14ac:dyDescent="0.3">
      <c r="A32" s="103" t="str">
        <f>CONCATENATE(Tableau4[[#This Row],[CODE COM]],"_",Tableau4[[#This Row],[COULEUR]],"_",Tableau4[[#This Row],[CODE FAB]],"_",Tableau4[[#This Row],[Num de Lot]])</f>
        <v>C03_BEIGE CLAIRE_NM15-03.00_65359</v>
      </c>
      <c r="B32" s="99" t="s">
        <v>103</v>
      </c>
      <c r="C32" s="99" t="s">
        <v>288</v>
      </c>
      <c r="D32" s="99" t="s">
        <v>287</v>
      </c>
      <c r="E32" s="99" t="s">
        <v>291</v>
      </c>
      <c r="F32" s="99">
        <v>65359</v>
      </c>
      <c r="G32" s="99" t="s">
        <v>431</v>
      </c>
      <c r="H32" s="100">
        <v>0</v>
      </c>
      <c r="I32" s="101">
        <v>0</v>
      </c>
      <c r="J32" s="102">
        <v>0</v>
      </c>
      <c r="K32" s="101">
        <v>1013.88</v>
      </c>
      <c r="L32" s="102">
        <v>0</v>
      </c>
      <c r="M32" s="101">
        <v>0</v>
      </c>
      <c r="N32" s="102">
        <v>0</v>
      </c>
      <c r="O32" s="101">
        <v>0</v>
      </c>
      <c r="P32" s="101">
        <v>1013.88</v>
      </c>
    </row>
    <row r="33" spans="1:16" ht="16.5" thickTop="1" thickBot="1" x14ac:dyDescent="0.3">
      <c r="A33" s="103" t="str">
        <f>CONCATENATE(Tableau4[[#This Row],[CODE COM]],"_",Tableau4[[#This Row],[COULEUR]],"_",Tableau4[[#This Row],[CODE FAB]],"_",Tableau4[[#This Row],[Num de Lot]])</f>
        <v>C03_BEIGE CLAIRE_NM34-03.00_S2024</v>
      </c>
      <c r="B33" s="99" t="s">
        <v>179</v>
      </c>
      <c r="C33" s="99" t="s">
        <v>288</v>
      </c>
      <c r="D33" s="99" t="s">
        <v>287</v>
      </c>
      <c r="E33" s="99" t="s">
        <v>286</v>
      </c>
      <c r="F33" s="99" t="s">
        <v>175</v>
      </c>
      <c r="G33" s="99" t="s">
        <v>431</v>
      </c>
      <c r="H33" s="100">
        <v>0</v>
      </c>
      <c r="I33" s="101">
        <v>71</v>
      </c>
      <c r="J33" s="102">
        <v>0</v>
      </c>
      <c r="K33" s="101">
        <v>0</v>
      </c>
      <c r="L33" s="102">
        <v>0</v>
      </c>
      <c r="M33" s="101">
        <v>0</v>
      </c>
      <c r="N33" s="102">
        <v>0</v>
      </c>
      <c r="O33" s="101">
        <v>0</v>
      </c>
      <c r="P33" s="101">
        <v>71</v>
      </c>
    </row>
    <row r="34" spans="1:16" ht="16.5" thickTop="1" thickBot="1" x14ac:dyDescent="0.3">
      <c r="A34" s="103" t="str">
        <f>CONCATENATE(Tableau4[[#This Row],[CODE COM]],"_",Tableau4[[#This Row],[COULEUR]],"_",Tableau4[[#This Row],[CODE FAB]],"_",Tableau4[[#This Row],[Num de Lot]])</f>
        <v>C04_TAUPE_NM05-04.00_60623</v>
      </c>
      <c r="B34" s="99" t="s">
        <v>119</v>
      </c>
      <c r="C34" s="99" t="s">
        <v>277</v>
      </c>
      <c r="D34" s="99" t="s">
        <v>276</v>
      </c>
      <c r="E34" s="99" t="s">
        <v>285</v>
      </c>
      <c r="F34" s="99">
        <v>60623</v>
      </c>
      <c r="G34" s="99" t="s">
        <v>431</v>
      </c>
      <c r="H34" s="100">
        <v>0</v>
      </c>
      <c r="I34" s="101">
        <v>0</v>
      </c>
      <c r="J34" s="102">
        <v>0</v>
      </c>
      <c r="K34" s="101">
        <v>0</v>
      </c>
      <c r="L34" s="102">
        <v>44</v>
      </c>
      <c r="M34" s="101">
        <v>154</v>
      </c>
      <c r="N34" s="102">
        <v>57</v>
      </c>
      <c r="O34" s="101">
        <v>199.5</v>
      </c>
      <c r="P34" s="101">
        <v>353.5</v>
      </c>
    </row>
    <row r="35" spans="1:16" ht="16.5" thickTop="1" thickBot="1" x14ac:dyDescent="0.3">
      <c r="A35" s="103" t="str">
        <f>CONCATENATE(Tableau4[[#This Row],[CODE COM]],"_",Tableau4[[#This Row],[COULEUR]],"_",Tableau4[[#This Row],[CODE FAB]],"_",Tableau4[[#This Row],[Num de Lot]])</f>
        <v>C04_NATUREL_NM10-04.01_59630</v>
      </c>
      <c r="B35" s="99" t="s">
        <v>116</v>
      </c>
      <c r="C35" s="99" t="s">
        <v>281</v>
      </c>
      <c r="D35" s="99" t="s">
        <v>276</v>
      </c>
      <c r="E35" s="99" t="s">
        <v>283</v>
      </c>
      <c r="F35" s="99">
        <v>59630</v>
      </c>
      <c r="G35" s="99" t="s">
        <v>431</v>
      </c>
      <c r="H35" s="100">
        <v>0</v>
      </c>
      <c r="I35" s="101">
        <v>0</v>
      </c>
      <c r="J35" s="102">
        <v>0</v>
      </c>
      <c r="K35" s="101">
        <v>0</v>
      </c>
      <c r="L35" s="102">
        <v>0</v>
      </c>
      <c r="M35" s="101">
        <v>0</v>
      </c>
      <c r="N35" s="102">
        <v>89</v>
      </c>
      <c r="O35" s="101">
        <v>311.5</v>
      </c>
      <c r="P35" s="101">
        <v>311.5</v>
      </c>
    </row>
    <row r="36" spans="1:16" ht="16.5" thickTop="1" thickBot="1" x14ac:dyDescent="0.3">
      <c r="A36" s="103" t="str">
        <f>CONCATENATE(Tableau4[[#This Row],[CODE COM]],"_",Tableau4[[#This Row],[COULEUR]],"_",Tableau4[[#This Row],[CODE FAB]],"_",Tableau4[[#This Row],[Num de Lot]])</f>
        <v>C04_BRUN_NM15-04.02_61439</v>
      </c>
      <c r="B36" s="99" t="s">
        <v>103</v>
      </c>
      <c r="C36" s="99" t="s">
        <v>279</v>
      </c>
      <c r="D36" s="99" t="s">
        <v>276</v>
      </c>
      <c r="E36" s="99" t="s">
        <v>278</v>
      </c>
      <c r="F36" s="99">
        <v>61439</v>
      </c>
      <c r="G36" s="99" t="s">
        <v>431</v>
      </c>
      <c r="H36" s="100">
        <v>0</v>
      </c>
      <c r="I36" s="101">
        <v>396.5</v>
      </c>
      <c r="J36" s="102">
        <v>264</v>
      </c>
      <c r="K36" s="101">
        <v>924</v>
      </c>
      <c r="L36" s="102">
        <v>0</v>
      </c>
      <c r="M36" s="101">
        <v>0</v>
      </c>
      <c r="N36" s="102">
        <v>0</v>
      </c>
      <c r="O36" s="101">
        <v>0</v>
      </c>
      <c r="P36" s="101">
        <v>1320.5</v>
      </c>
    </row>
    <row r="37" spans="1:16" ht="16.5" thickTop="1" thickBot="1" x14ac:dyDescent="0.3">
      <c r="A37" s="103" t="str">
        <f>CONCATENATE(Tableau4[[#This Row],[CODE COM]],"_",Tableau4[[#This Row],[COULEUR]],"_",Tableau4[[#This Row],[CODE FAB]],"_",Tableau4[[#This Row],[Num de Lot]])</f>
        <v>C04_NATUREL_NM15-04.01_61723</v>
      </c>
      <c r="B37" s="99" t="s">
        <v>103</v>
      </c>
      <c r="C37" s="99" t="s">
        <v>281</v>
      </c>
      <c r="D37" s="99" t="s">
        <v>276</v>
      </c>
      <c r="E37" s="99" t="s">
        <v>280</v>
      </c>
      <c r="F37" s="99">
        <v>61723</v>
      </c>
      <c r="G37" s="99" t="s">
        <v>431</v>
      </c>
      <c r="H37" s="100">
        <v>0</v>
      </c>
      <c r="I37" s="101">
        <v>0</v>
      </c>
      <c r="J37" s="102">
        <v>0</v>
      </c>
      <c r="K37" s="101">
        <v>0</v>
      </c>
      <c r="L37" s="102">
        <v>0</v>
      </c>
      <c r="M37" s="101">
        <v>0</v>
      </c>
      <c r="N37" s="102">
        <v>0</v>
      </c>
      <c r="O37" s="101">
        <v>0</v>
      </c>
      <c r="P37" s="101">
        <v>0</v>
      </c>
    </row>
    <row r="38" spans="1:16" ht="16.5" thickTop="1" thickBot="1" x14ac:dyDescent="0.3">
      <c r="A38" s="103" t="str">
        <f>CONCATENATE(Tableau4[[#This Row],[CODE COM]],"_",Tableau4[[#This Row],[COULEUR]],"_",Tableau4[[#This Row],[CODE FAB]],"_",Tableau4[[#This Row],[Num de Lot]])</f>
        <v>C04_TAUPE_NM15-04.00_65370</v>
      </c>
      <c r="B38" s="99" t="s">
        <v>103</v>
      </c>
      <c r="C38" s="99" t="s">
        <v>277</v>
      </c>
      <c r="D38" s="99" t="s">
        <v>276</v>
      </c>
      <c r="E38" s="99" t="s">
        <v>282</v>
      </c>
      <c r="F38" s="99">
        <v>65370</v>
      </c>
      <c r="G38" s="99" t="s">
        <v>431</v>
      </c>
      <c r="H38" s="100">
        <v>0</v>
      </c>
      <c r="I38" s="101">
        <v>0</v>
      </c>
      <c r="J38" s="102">
        <v>0</v>
      </c>
      <c r="K38" s="101">
        <v>1865.32</v>
      </c>
      <c r="L38" s="102">
        <v>0</v>
      </c>
      <c r="M38" s="101">
        <v>0</v>
      </c>
      <c r="N38" s="102">
        <v>0</v>
      </c>
      <c r="O38" s="101">
        <v>0</v>
      </c>
      <c r="P38" s="101">
        <v>1865.32</v>
      </c>
    </row>
    <row r="39" spans="1:16" ht="16.5" thickTop="1" thickBot="1" x14ac:dyDescent="0.3">
      <c r="A39" s="103" t="str">
        <f>CONCATENATE(Tableau4[[#This Row],[CODE COM]],"_",Tableau4[[#This Row],[COULEUR]],"_",Tableau4[[#This Row],[CODE FAB]],"_",Tableau4[[#This Row],[Num de Lot]])</f>
        <v>C04_TAUPE_NM15-04.00_65370</v>
      </c>
      <c r="B39" s="99" t="s">
        <v>103</v>
      </c>
      <c r="C39" s="99" t="s">
        <v>277</v>
      </c>
      <c r="D39" s="99" t="s">
        <v>276</v>
      </c>
      <c r="E39" s="99" t="s">
        <v>282</v>
      </c>
      <c r="F39" s="99">
        <v>65370</v>
      </c>
      <c r="G39" s="99" t="s">
        <v>431</v>
      </c>
      <c r="H39" s="100">
        <v>0</v>
      </c>
      <c r="I39" s="101">
        <v>0</v>
      </c>
      <c r="J39" s="102">
        <v>0</v>
      </c>
      <c r="K39" s="101">
        <v>265.97000000000003</v>
      </c>
      <c r="L39" s="102">
        <v>0</v>
      </c>
      <c r="M39" s="101">
        <v>0</v>
      </c>
      <c r="N39" s="102">
        <v>0</v>
      </c>
      <c r="O39" s="101">
        <v>0</v>
      </c>
      <c r="P39" s="101">
        <v>265.97000000000003</v>
      </c>
    </row>
    <row r="40" spans="1:16" ht="16.5" thickTop="1" thickBot="1" x14ac:dyDescent="0.3">
      <c r="A40" s="103" t="str">
        <f>CONCATENATE(Tableau4[[#This Row],[CODE COM]],"_",Tableau4[[#This Row],[COULEUR]],"_",Tableau4[[#This Row],[CODE FAB]],"_",Tableau4[[#This Row],[Num de Lot]])</f>
        <v>C04_NATUREL_NM15-04.01_65437</v>
      </c>
      <c r="B40" s="99" t="s">
        <v>103</v>
      </c>
      <c r="C40" s="99" t="s">
        <v>281</v>
      </c>
      <c r="D40" s="99" t="s">
        <v>276</v>
      </c>
      <c r="E40" s="99" t="s">
        <v>280</v>
      </c>
      <c r="F40" s="99">
        <v>65437</v>
      </c>
      <c r="G40" s="99" t="s">
        <v>431</v>
      </c>
      <c r="H40" s="100">
        <v>0</v>
      </c>
      <c r="I40" s="101">
        <v>0</v>
      </c>
      <c r="J40" s="102">
        <v>0</v>
      </c>
      <c r="K40" s="101">
        <v>634.94000000000005</v>
      </c>
      <c r="L40" s="102">
        <v>0</v>
      </c>
      <c r="M40" s="101">
        <v>0</v>
      </c>
      <c r="N40" s="102">
        <v>0</v>
      </c>
      <c r="O40" s="101">
        <v>0</v>
      </c>
      <c r="P40" s="101">
        <v>634.94000000000005</v>
      </c>
    </row>
    <row r="41" spans="1:16" ht="16.5" thickTop="1" thickBot="1" x14ac:dyDescent="0.3">
      <c r="A41" s="103" t="str">
        <f>CONCATENATE(Tableau4[[#This Row],[CODE COM]],"_",Tableau4[[#This Row],[COULEUR]],"_",Tableau4[[#This Row],[CODE FAB]],"_",Tableau4[[#This Row],[Num de Lot]])</f>
        <v>C04_TAUPE_NM15-04.00_S2023</v>
      </c>
      <c r="B41" s="99" t="s">
        <v>103</v>
      </c>
      <c r="C41" s="99" t="s">
        <v>277</v>
      </c>
      <c r="D41" s="99" t="s">
        <v>276</v>
      </c>
      <c r="E41" s="99" t="s">
        <v>282</v>
      </c>
      <c r="F41" s="99" t="s">
        <v>69</v>
      </c>
      <c r="G41" s="99" t="s">
        <v>431</v>
      </c>
      <c r="H41" s="100">
        <v>0</v>
      </c>
      <c r="I41" s="101">
        <v>211</v>
      </c>
      <c r="J41" s="102">
        <v>0</v>
      </c>
      <c r="K41" s="101">
        <v>0</v>
      </c>
      <c r="L41" s="102">
        <v>0</v>
      </c>
      <c r="M41" s="101">
        <v>0</v>
      </c>
      <c r="N41" s="102">
        <v>0</v>
      </c>
      <c r="O41" s="101">
        <v>0</v>
      </c>
      <c r="P41" s="101">
        <v>211</v>
      </c>
    </row>
    <row r="42" spans="1:16" ht="16.5" thickTop="1" thickBot="1" x14ac:dyDescent="0.3">
      <c r="A42" s="103" t="str">
        <f>CONCATENATE(Tableau4[[#This Row],[CODE COM]],"_",Tableau4[[#This Row],[COULEUR]],"_",Tableau4[[#This Row],[CODE FAB]],"_",Tableau4[[#This Row],[Num de Lot]])</f>
        <v>C04_BRUN_NM15-04.03_S2023</v>
      </c>
      <c r="B42" s="99" t="s">
        <v>103</v>
      </c>
      <c r="C42" s="99" t="s">
        <v>279</v>
      </c>
      <c r="D42" s="99" t="s">
        <v>276</v>
      </c>
      <c r="E42" s="99" t="s">
        <v>331</v>
      </c>
      <c r="F42" s="99" t="s">
        <v>69</v>
      </c>
      <c r="G42" s="99" t="s">
        <v>431</v>
      </c>
      <c r="H42" s="100">
        <v>0</v>
      </c>
      <c r="I42" s="101">
        <v>0</v>
      </c>
      <c r="J42" s="102">
        <v>0</v>
      </c>
      <c r="K42" s="101">
        <v>0</v>
      </c>
      <c r="L42" s="102">
        <v>0</v>
      </c>
      <c r="M42" s="101">
        <v>0</v>
      </c>
      <c r="N42" s="102">
        <v>0</v>
      </c>
      <c r="O42" s="101">
        <v>0</v>
      </c>
      <c r="P42" s="101">
        <v>0</v>
      </c>
    </row>
    <row r="43" spans="1:16" ht="16.5" thickTop="1" thickBot="1" x14ac:dyDescent="0.3">
      <c r="A43" s="103" t="str">
        <f>CONCATENATE(Tableau4[[#This Row],[CODE COM]],"_",Tableau4[[#This Row],[COULEUR]],"_",Tableau4[[#This Row],[CODE FAB]],"_",Tableau4[[#This Row],[Num de Lot]])</f>
        <v>C04_TAUPE_NM34-04.00_S2024</v>
      </c>
      <c r="B43" s="99" t="s">
        <v>179</v>
      </c>
      <c r="C43" s="99" t="s">
        <v>277</v>
      </c>
      <c r="D43" s="99" t="s">
        <v>276</v>
      </c>
      <c r="E43" s="99" t="s">
        <v>275</v>
      </c>
      <c r="F43" s="99" t="s">
        <v>175</v>
      </c>
      <c r="G43" s="99" t="s">
        <v>431</v>
      </c>
      <c r="H43" s="100">
        <v>0</v>
      </c>
      <c r="I43" s="101">
        <v>34</v>
      </c>
      <c r="J43" s="102">
        <v>0</v>
      </c>
      <c r="K43" s="101">
        <v>0</v>
      </c>
      <c r="L43" s="102">
        <v>0</v>
      </c>
      <c r="M43" s="101">
        <v>0</v>
      </c>
      <c r="N43" s="102">
        <v>0</v>
      </c>
      <c r="O43" s="101">
        <v>0</v>
      </c>
      <c r="P43" s="101">
        <v>34</v>
      </c>
    </row>
    <row r="44" spans="1:16" ht="16.5" thickTop="1" thickBot="1" x14ac:dyDescent="0.3">
      <c r="A44" s="103" t="str">
        <f>CONCATENATE(Tableau4[[#This Row],[CODE COM]],"_",Tableau4[[#This Row],[COULEUR]],"_",Tableau4[[#This Row],[CODE FAB]],"_",Tableau4[[#This Row],[Num de Lot]])</f>
        <v>C05_MARRON_NM05-05.00_59949</v>
      </c>
      <c r="B44" s="99" t="s">
        <v>119</v>
      </c>
      <c r="C44" s="99" t="s">
        <v>268</v>
      </c>
      <c r="D44" s="99" t="s">
        <v>267</v>
      </c>
      <c r="E44" s="99" t="s">
        <v>274</v>
      </c>
      <c r="F44" s="99">
        <v>59949</v>
      </c>
      <c r="G44" s="99" t="s">
        <v>431</v>
      </c>
      <c r="H44" s="100">
        <v>0</v>
      </c>
      <c r="I44" s="101">
        <v>37.5</v>
      </c>
      <c r="J44" s="102">
        <v>0</v>
      </c>
      <c r="K44" s="101">
        <v>0</v>
      </c>
      <c r="L44" s="102">
        <v>317</v>
      </c>
      <c r="M44" s="101">
        <v>1109.5</v>
      </c>
      <c r="N44" s="102">
        <v>0</v>
      </c>
      <c r="O44" s="101">
        <v>0</v>
      </c>
      <c r="P44" s="101">
        <v>1147</v>
      </c>
    </row>
    <row r="45" spans="1:16" ht="16.5" thickTop="1" thickBot="1" x14ac:dyDescent="0.3">
      <c r="A45" s="103" t="str">
        <f>CONCATENATE(Tableau4[[#This Row],[CODE COM]],"_",Tableau4[[#This Row],[COULEUR]],"_",Tableau4[[#This Row],[CODE FAB]],"_",Tableau4[[#This Row],[Num de Lot]])</f>
        <v>C05_MARRON_NM05-05.00_61660</v>
      </c>
      <c r="B45" s="99" t="s">
        <v>119</v>
      </c>
      <c r="C45" s="99" t="s">
        <v>268</v>
      </c>
      <c r="D45" s="99" t="s">
        <v>267</v>
      </c>
      <c r="E45" s="99" t="s">
        <v>274</v>
      </c>
      <c r="F45" s="99">
        <v>61660</v>
      </c>
      <c r="G45" s="99" t="s">
        <v>431</v>
      </c>
      <c r="H45" s="100">
        <v>0</v>
      </c>
      <c r="I45" s="101">
        <v>0</v>
      </c>
      <c r="J45" s="102">
        <v>0</v>
      </c>
      <c r="K45" s="101">
        <v>0</v>
      </c>
      <c r="L45" s="102">
        <v>42</v>
      </c>
      <c r="M45" s="101">
        <v>147</v>
      </c>
      <c r="N45" s="102">
        <v>0</v>
      </c>
      <c r="O45" s="101">
        <v>0</v>
      </c>
      <c r="P45" s="101">
        <v>147</v>
      </c>
    </row>
    <row r="46" spans="1:16" ht="16.5" thickTop="1" thickBot="1" x14ac:dyDescent="0.3">
      <c r="A46" s="103" t="str">
        <f>CONCATENATE(Tableau4[[#This Row],[CODE COM]],"_",Tableau4[[#This Row],[COULEUR]],"_",Tableau4[[#This Row],[CODE FAB]],"_",Tableau4[[#This Row],[Num de Lot]])</f>
        <v>C05_MARRON_NM10-05.00_59629</v>
      </c>
      <c r="B46" s="99" t="s">
        <v>116</v>
      </c>
      <c r="C46" s="99" t="s">
        <v>268</v>
      </c>
      <c r="D46" s="99" t="s">
        <v>267</v>
      </c>
      <c r="E46" s="99" t="s">
        <v>273</v>
      </c>
      <c r="F46" s="99">
        <v>59629</v>
      </c>
      <c r="G46" s="99" t="s">
        <v>431</v>
      </c>
      <c r="H46" s="100">
        <v>0</v>
      </c>
      <c r="I46" s="101">
        <v>0</v>
      </c>
      <c r="J46" s="102">
        <v>0</v>
      </c>
      <c r="K46" s="101">
        <v>0</v>
      </c>
      <c r="L46" s="102">
        <v>0</v>
      </c>
      <c r="M46" s="101">
        <v>0</v>
      </c>
      <c r="N46" s="102">
        <v>110</v>
      </c>
      <c r="O46" s="101">
        <v>385</v>
      </c>
      <c r="P46" s="101">
        <v>385</v>
      </c>
    </row>
    <row r="47" spans="1:16" ht="16.5" thickTop="1" thickBot="1" x14ac:dyDescent="0.3">
      <c r="A47" s="103" t="str">
        <f>CONCATENATE(Tableau4[[#This Row],[CODE COM]],"_",Tableau4[[#This Row],[COULEUR]],"_",Tableau4[[#This Row],[CODE FAB]],"_",Tableau4[[#This Row],[Num de Lot]])</f>
        <v>C05_MARRON_NM15-05.00_61440</v>
      </c>
      <c r="B47" s="99" t="s">
        <v>103</v>
      </c>
      <c r="C47" s="99" t="s">
        <v>268</v>
      </c>
      <c r="D47" s="99" t="s">
        <v>267</v>
      </c>
      <c r="E47" s="99" t="s">
        <v>272</v>
      </c>
      <c r="F47" s="99">
        <v>61440</v>
      </c>
      <c r="G47" s="99" t="s">
        <v>431</v>
      </c>
      <c r="H47" s="100">
        <v>0</v>
      </c>
      <c r="I47" s="101">
        <v>211.5</v>
      </c>
      <c r="J47" s="102">
        <v>429</v>
      </c>
      <c r="K47" s="101">
        <v>1501.5</v>
      </c>
      <c r="L47" s="102">
        <v>0</v>
      </c>
      <c r="M47" s="101">
        <v>0</v>
      </c>
      <c r="N47" s="102">
        <v>0</v>
      </c>
      <c r="O47" s="101">
        <v>0</v>
      </c>
      <c r="P47" s="101">
        <v>1713</v>
      </c>
    </row>
    <row r="48" spans="1:16" ht="16.5" thickTop="1" thickBot="1" x14ac:dyDescent="0.3">
      <c r="A48" s="103" t="str">
        <f>CONCATENATE(Tableau4[[#This Row],[CODE COM]],"_",Tableau4[[#This Row],[COULEUR]],"_",Tableau4[[#This Row],[CODE FAB]],"_",Tableau4[[#This Row],[Num de Lot]])</f>
        <v>C05_TERRA_NM15-05.01_61561</v>
      </c>
      <c r="B48" s="99" t="s">
        <v>103</v>
      </c>
      <c r="C48" s="99" t="s">
        <v>271</v>
      </c>
      <c r="D48" s="99" t="s">
        <v>267</v>
      </c>
      <c r="E48" s="99" t="s">
        <v>270</v>
      </c>
      <c r="F48" s="99">
        <v>61561</v>
      </c>
      <c r="G48" s="99" t="s">
        <v>431</v>
      </c>
      <c r="H48" s="100">
        <v>0</v>
      </c>
      <c r="I48" s="101">
        <v>253.5</v>
      </c>
      <c r="J48" s="102">
        <v>99</v>
      </c>
      <c r="K48" s="101">
        <v>346.5</v>
      </c>
      <c r="L48" s="102">
        <v>0</v>
      </c>
      <c r="M48" s="101">
        <v>0</v>
      </c>
      <c r="N48" s="102">
        <v>0</v>
      </c>
      <c r="O48" s="101">
        <v>0</v>
      </c>
      <c r="P48" s="101">
        <v>600</v>
      </c>
    </row>
    <row r="49" spans="1:16" ht="16.5" thickTop="1" thickBot="1" x14ac:dyDescent="0.3">
      <c r="A49" s="103" t="str">
        <f>CONCATENATE(Tableau4[[#This Row],[CODE COM]],"_",Tableau4[[#This Row],[COULEUR]],"_",Tableau4[[#This Row],[CODE FAB]],"_",Tableau4[[#This Row],[Num de Lot]])</f>
        <v>C05_TERRA_NM15-05.01_65415</v>
      </c>
      <c r="B49" s="99" t="s">
        <v>103</v>
      </c>
      <c r="C49" s="99" t="s">
        <v>271</v>
      </c>
      <c r="D49" s="99" t="s">
        <v>267</v>
      </c>
      <c r="E49" s="99" t="s">
        <v>270</v>
      </c>
      <c r="F49" s="99">
        <v>65415</v>
      </c>
      <c r="G49" s="99" t="s">
        <v>431</v>
      </c>
      <c r="H49" s="100">
        <v>0</v>
      </c>
      <c r="I49" s="101">
        <v>0</v>
      </c>
      <c r="J49" s="102">
        <v>0</v>
      </c>
      <c r="K49" s="101">
        <v>1018.66</v>
      </c>
      <c r="L49" s="102">
        <v>0</v>
      </c>
      <c r="M49" s="101">
        <v>0</v>
      </c>
      <c r="N49" s="102">
        <v>0</v>
      </c>
      <c r="O49" s="101">
        <v>0</v>
      </c>
      <c r="P49" s="101">
        <v>1018.66</v>
      </c>
    </row>
    <row r="50" spans="1:16" ht="16.5" thickTop="1" thickBot="1" x14ac:dyDescent="0.3">
      <c r="A50" s="103" t="str">
        <f>CONCATENATE(Tableau4[[#This Row],[CODE COM]],"_",Tableau4[[#This Row],[COULEUR]],"_",Tableau4[[#This Row],[CODE FAB]],"_",Tableau4[[#This Row],[Num de Lot]])</f>
        <v>C05_MARRON_NM15-05.02_S2023</v>
      </c>
      <c r="B50" s="99" t="s">
        <v>103</v>
      </c>
      <c r="C50" s="99" t="s">
        <v>268</v>
      </c>
      <c r="D50" s="99" t="s">
        <v>267</v>
      </c>
      <c r="E50" s="99" t="s">
        <v>269</v>
      </c>
      <c r="F50" s="99" t="s">
        <v>69</v>
      </c>
      <c r="G50" s="99" t="s">
        <v>431</v>
      </c>
      <c r="H50" s="100">
        <v>0</v>
      </c>
      <c r="I50" s="101">
        <v>0</v>
      </c>
      <c r="J50" s="102">
        <v>16</v>
      </c>
      <c r="K50" s="101">
        <v>56</v>
      </c>
      <c r="L50" s="102">
        <v>0</v>
      </c>
      <c r="M50" s="101">
        <v>0</v>
      </c>
      <c r="N50" s="102">
        <v>0</v>
      </c>
      <c r="O50" s="101">
        <v>0</v>
      </c>
      <c r="P50" s="101">
        <v>56</v>
      </c>
    </row>
    <row r="51" spans="1:16" ht="16.5" thickTop="1" thickBot="1" x14ac:dyDescent="0.3">
      <c r="A51" s="103" t="str">
        <f>CONCATENATE(Tableau4[[#This Row],[CODE COM]],"_",Tableau4[[#This Row],[COULEUR]],"_",Tableau4[[#This Row],[CODE FAB]],"_",Tableau4[[#This Row],[Num de Lot]])</f>
        <v>C05_MARRON_NM34-05.00_S2024</v>
      </c>
      <c r="B51" s="99" t="s">
        <v>179</v>
      </c>
      <c r="C51" s="99" t="s">
        <v>268</v>
      </c>
      <c r="D51" s="99" t="s">
        <v>267</v>
      </c>
      <c r="E51" s="99" t="s">
        <v>266</v>
      </c>
      <c r="F51" s="99" t="s">
        <v>175</v>
      </c>
      <c r="G51" s="99" t="s">
        <v>431</v>
      </c>
      <c r="H51" s="100">
        <v>0</v>
      </c>
      <c r="I51" s="101">
        <v>51</v>
      </c>
      <c r="J51" s="102">
        <v>0</v>
      </c>
      <c r="K51" s="101">
        <v>0</v>
      </c>
      <c r="L51" s="102">
        <v>0</v>
      </c>
      <c r="M51" s="101">
        <v>0</v>
      </c>
      <c r="N51" s="102">
        <v>0</v>
      </c>
      <c r="O51" s="101">
        <v>0</v>
      </c>
      <c r="P51" s="101">
        <v>51</v>
      </c>
    </row>
    <row r="52" spans="1:16" ht="16.5" thickTop="1" thickBot="1" x14ac:dyDescent="0.3">
      <c r="A52" s="103" t="str">
        <f>CONCATENATE(Tableau4[[#This Row],[CODE COM]],"_",Tableau4[[#This Row],[COULEUR]],"_",Tableau4[[#This Row],[CODE FAB]],"_",Tableau4[[#This Row],[Num de Lot]])</f>
        <v>C06_GRIS CLAIR_NM05-06.00_59935</v>
      </c>
      <c r="B52" s="99" t="s">
        <v>119</v>
      </c>
      <c r="C52" s="99" t="s">
        <v>262</v>
      </c>
      <c r="D52" s="99" t="s">
        <v>261</v>
      </c>
      <c r="E52" s="99" t="s">
        <v>265</v>
      </c>
      <c r="F52" s="99">
        <v>59935</v>
      </c>
      <c r="G52" s="99" t="s">
        <v>431</v>
      </c>
      <c r="H52" s="100">
        <v>0</v>
      </c>
      <c r="I52" s="101">
        <v>0</v>
      </c>
      <c r="J52" s="102">
        <v>0</v>
      </c>
      <c r="K52" s="101">
        <v>0</v>
      </c>
      <c r="L52" s="102">
        <v>0</v>
      </c>
      <c r="M52" s="101">
        <v>0</v>
      </c>
      <c r="N52" s="102">
        <v>291</v>
      </c>
      <c r="O52" s="101">
        <v>1018.5</v>
      </c>
      <c r="P52" s="101">
        <v>1018.5</v>
      </c>
    </row>
    <row r="53" spans="1:16" ht="16.5" thickTop="1" thickBot="1" x14ac:dyDescent="0.3">
      <c r="A53" s="103" t="str">
        <f>CONCATENATE(Tableau4[[#This Row],[CODE COM]],"_",Tableau4[[#This Row],[COULEUR]],"_",Tableau4[[#This Row],[CODE FAB]],"_",Tableau4[[#This Row],[Num de Lot]])</f>
        <v>C06_GRIS CLAIR_NM12.02-06.00_S2023</v>
      </c>
      <c r="B53" s="99" t="s">
        <v>257</v>
      </c>
      <c r="C53" s="99" t="s">
        <v>262</v>
      </c>
      <c r="D53" s="99" t="s">
        <v>261</v>
      </c>
      <c r="E53" s="99" t="s">
        <v>264</v>
      </c>
      <c r="F53" s="99" t="s">
        <v>69</v>
      </c>
      <c r="G53" s="99" t="s">
        <v>431</v>
      </c>
      <c r="H53" s="100">
        <v>0</v>
      </c>
      <c r="I53" s="101">
        <v>7.5</v>
      </c>
      <c r="J53" s="102">
        <v>0</v>
      </c>
      <c r="K53" s="101">
        <v>0</v>
      </c>
      <c r="L53" s="102">
        <v>204</v>
      </c>
      <c r="M53" s="101">
        <v>714</v>
      </c>
      <c r="N53" s="102">
        <v>0</v>
      </c>
      <c r="O53" s="101">
        <v>0</v>
      </c>
      <c r="P53" s="101">
        <v>721.5</v>
      </c>
    </row>
    <row r="54" spans="1:16" ht="16.5" thickTop="1" thickBot="1" x14ac:dyDescent="0.3">
      <c r="A54" s="103" t="str">
        <f>CONCATENATE(Tableau4[[#This Row],[CODE COM]],"_",Tableau4[[#This Row],[COULEUR]],"_",Tableau4[[#This Row],[CODE FAB]],"_",Tableau4[[#This Row],[Num de Lot]])</f>
        <v>C06_GRIS CLAIR_NM14-06.00_60195</v>
      </c>
      <c r="B54" s="99" t="s">
        <v>242</v>
      </c>
      <c r="C54" s="99" t="s">
        <v>262</v>
      </c>
      <c r="D54" s="99" t="s">
        <v>261</v>
      </c>
      <c r="E54" s="99" t="s">
        <v>263</v>
      </c>
      <c r="F54" s="99">
        <v>60195</v>
      </c>
      <c r="G54" s="99" t="s">
        <v>431</v>
      </c>
      <c r="H54" s="100">
        <v>0</v>
      </c>
      <c r="I54" s="101">
        <v>0</v>
      </c>
      <c r="J54" s="102">
        <v>0</v>
      </c>
      <c r="K54" s="101">
        <v>0</v>
      </c>
      <c r="L54" s="102">
        <v>0</v>
      </c>
      <c r="M54" s="101">
        <v>0</v>
      </c>
      <c r="N54" s="102">
        <v>274</v>
      </c>
      <c r="O54" s="101">
        <v>959</v>
      </c>
      <c r="P54" s="101">
        <v>959</v>
      </c>
    </row>
    <row r="55" spans="1:16" ht="16.5" thickTop="1" thickBot="1" x14ac:dyDescent="0.3">
      <c r="A55" s="103" t="str">
        <f>CONCATENATE(Tableau4[[#This Row],[CODE COM]],"_",Tableau4[[#This Row],[COULEUR]],"_",Tableau4[[#This Row],[CODE FAB]],"_",Tableau4[[#This Row],[Num de Lot]])</f>
        <v>C06_GRIS CLAIR_NM15-06.00_61428</v>
      </c>
      <c r="B55" s="99" t="s">
        <v>103</v>
      </c>
      <c r="C55" s="99" t="s">
        <v>262</v>
      </c>
      <c r="D55" s="99" t="s">
        <v>261</v>
      </c>
      <c r="E55" s="99" t="s">
        <v>260</v>
      </c>
      <c r="F55" s="99">
        <v>61428</v>
      </c>
      <c r="G55" s="99" t="s">
        <v>431</v>
      </c>
      <c r="H55" s="100">
        <v>0</v>
      </c>
      <c r="I55" s="101">
        <v>26.5</v>
      </c>
      <c r="J55" s="102">
        <v>0</v>
      </c>
      <c r="K55" s="101">
        <v>0</v>
      </c>
      <c r="L55" s="102">
        <v>0</v>
      </c>
      <c r="M55" s="101">
        <v>0</v>
      </c>
      <c r="N55" s="102">
        <v>0</v>
      </c>
      <c r="O55" s="101">
        <v>0</v>
      </c>
      <c r="P55" s="101">
        <v>26.5</v>
      </c>
    </row>
    <row r="56" spans="1:16" ht="16.5" thickTop="1" thickBot="1" x14ac:dyDescent="0.3">
      <c r="A56" s="103" t="str">
        <f>CONCATENATE(Tableau4[[#This Row],[CODE COM]],"_",Tableau4[[#This Row],[COULEUR]],"_",Tableau4[[#This Row],[CODE FAB]],"_",Tableau4[[#This Row],[Num de Lot]])</f>
        <v>C06_GRIS CLAIR_NM15-06.00_63432</v>
      </c>
      <c r="B56" s="99" t="s">
        <v>103</v>
      </c>
      <c r="C56" s="99" t="s">
        <v>262</v>
      </c>
      <c r="D56" s="99" t="s">
        <v>261</v>
      </c>
      <c r="E56" s="99" t="s">
        <v>260</v>
      </c>
      <c r="F56" s="99">
        <v>63432</v>
      </c>
      <c r="G56" s="99" t="s">
        <v>431</v>
      </c>
      <c r="H56" s="100">
        <v>0</v>
      </c>
      <c r="I56" s="101">
        <v>0</v>
      </c>
      <c r="J56" s="102">
        <v>0</v>
      </c>
      <c r="K56" s="101">
        <v>2132.79</v>
      </c>
      <c r="L56" s="102">
        <v>0</v>
      </c>
      <c r="M56" s="101">
        <v>0</v>
      </c>
      <c r="N56" s="102">
        <v>0</v>
      </c>
      <c r="O56" s="101">
        <v>0</v>
      </c>
      <c r="P56" s="101">
        <v>2132.79</v>
      </c>
    </row>
    <row r="57" spans="1:16" ht="16.5" thickTop="1" thickBot="1" x14ac:dyDescent="0.3">
      <c r="A57" s="103" t="str">
        <f>CONCATENATE(Tableau4[[#This Row],[CODE COM]],"_",Tableau4[[#This Row],[COULEUR]],"_",Tableau4[[#This Row],[CODE FAB]],"_",Tableau4[[#This Row],[Num de Lot]])</f>
        <v>C07_GRIS MOYEN_NM05-07.00_60292</v>
      </c>
      <c r="B57" s="99" t="s">
        <v>119</v>
      </c>
      <c r="C57" s="99" t="s">
        <v>254</v>
      </c>
      <c r="D57" s="99" t="s">
        <v>253</v>
      </c>
      <c r="E57" s="99" t="s">
        <v>258</v>
      </c>
      <c r="F57" s="99">
        <v>60292</v>
      </c>
      <c r="G57" s="99" t="s">
        <v>431</v>
      </c>
      <c r="H57" s="100">
        <v>0</v>
      </c>
      <c r="I57" s="101">
        <v>0</v>
      </c>
      <c r="J57" s="102">
        <v>0</v>
      </c>
      <c r="K57" s="101">
        <v>0</v>
      </c>
      <c r="L57" s="102">
        <v>72</v>
      </c>
      <c r="M57" s="101">
        <v>252</v>
      </c>
      <c r="N57" s="102">
        <v>0</v>
      </c>
      <c r="O57" s="101">
        <v>0</v>
      </c>
      <c r="P57" s="101">
        <v>252</v>
      </c>
    </row>
    <row r="58" spans="1:16" ht="28.5" thickTop="1" thickBot="1" x14ac:dyDescent="0.3">
      <c r="A58" s="103" t="str">
        <f>CONCATENATE(Tableau4[[#This Row],[CODE COM]],"_",Tableau4[[#This Row],[COULEUR]],"_",Tableau4[[#This Row],[CODE FAB]],"_",Tableau4[[#This Row],[Num de Lot]])</f>
        <v>C07_GRIS METELIQUE_NM05-07.00_60448</v>
      </c>
      <c r="B58" s="99" t="s">
        <v>119</v>
      </c>
      <c r="C58" s="99" t="s">
        <v>259</v>
      </c>
      <c r="D58" s="99" t="s">
        <v>253</v>
      </c>
      <c r="E58" s="99" t="s">
        <v>258</v>
      </c>
      <c r="F58" s="99">
        <v>60448</v>
      </c>
      <c r="G58" s="99" t="s">
        <v>431</v>
      </c>
      <c r="H58" s="100">
        <v>0</v>
      </c>
      <c r="I58" s="101">
        <v>0</v>
      </c>
      <c r="J58" s="102">
        <v>0</v>
      </c>
      <c r="K58" s="101">
        <v>0</v>
      </c>
      <c r="L58" s="102">
        <v>21</v>
      </c>
      <c r="M58" s="101">
        <v>73.5</v>
      </c>
      <c r="N58" s="102">
        <v>0</v>
      </c>
      <c r="O58" s="101">
        <v>0</v>
      </c>
      <c r="P58" s="101">
        <v>73.5</v>
      </c>
    </row>
    <row r="59" spans="1:16" ht="16.5" thickTop="1" thickBot="1" x14ac:dyDescent="0.3">
      <c r="A59" s="103" t="str">
        <f>CONCATENATE(Tableau4[[#This Row],[CODE COM]],"_",Tableau4[[#This Row],[COULEUR]],"_",Tableau4[[#This Row],[CODE FAB]],"_",Tableau4[[#This Row],[Num de Lot]])</f>
        <v>C07_GRIS MOYEN_NM12-07.00_51595</v>
      </c>
      <c r="B59" s="99" t="s">
        <v>257</v>
      </c>
      <c r="C59" s="99" t="s">
        <v>254</v>
      </c>
      <c r="D59" s="99" t="s">
        <v>253</v>
      </c>
      <c r="E59" s="99" t="s">
        <v>256</v>
      </c>
      <c r="F59" s="99">
        <v>51595</v>
      </c>
      <c r="G59" s="99" t="s">
        <v>431</v>
      </c>
      <c r="H59" s="100">
        <v>0</v>
      </c>
      <c r="I59" s="101">
        <v>0</v>
      </c>
      <c r="J59" s="102">
        <v>0</v>
      </c>
      <c r="K59" s="101">
        <v>0</v>
      </c>
      <c r="L59" s="102">
        <v>0</v>
      </c>
      <c r="M59" s="101">
        <v>0</v>
      </c>
      <c r="N59" s="102">
        <v>30</v>
      </c>
      <c r="O59" s="101">
        <v>105</v>
      </c>
      <c r="P59" s="101">
        <v>105</v>
      </c>
    </row>
    <row r="60" spans="1:16" ht="16.5" thickTop="1" thickBot="1" x14ac:dyDescent="0.3">
      <c r="A60" s="103" t="str">
        <f>CONCATENATE(Tableau4[[#This Row],[CODE COM]],"_",Tableau4[[#This Row],[COULEUR]],"_",Tableau4[[#This Row],[CODE FAB]],"_",Tableau4[[#This Row],[Num de Lot]])</f>
        <v>C07_GRIS MOYEN_NM15-07.00_61445</v>
      </c>
      <c r="B60" s="99" t="s">
        <v>103</v>
      </c>
      <c r="C60" s="99" t="s">
        <v>254</v>
      </c>
      <c r="D60" s="99" t="s">
        <v>253</v>
      </c>
      <c r="E60" s="99" t="s">
        <v>255</v>
      </c>
      <c r="F60" s="99">
        <v>61445</v>
      </c>
      <c r="G60" s="99" t="s">
        <v>431</v>
      </c>
      <c r="H60" s="100">
        <v>0</v>
      </c>
      <c r="I60" s="101">
        <v>170.2</v>
      </c>
      <c r="J60" s="102">
        <v>377</v>
      </c>
      <c r="K60" s="101">
        <v>1319.5</v>
      </c>
      <c r="L60" s="102">
        <v>0</v>
      </c>
      <c r="M60" s="101">
        <v>0</v>
      </c>
      <c r="N60" s="102">
        <v>0</v>
      </c>
      <c r="O60" s="101">
        <v>0</v>
      </c>
      <c r="P60" s="101">
        <v>1489.7</v>
      </c>
    </row>
    <row r="61" spans="1:16" ht="16.5" thickTop="1" thickBot="1" x14ac:dyDescent="0.3">
      <c r="A61" s="103" t="str">
        <f>CONCATENATE(Tableau4[[#This Row],[CODE COM]],"_",Tableau4[[#This Row],[COULEUR]],"_",Tableau4[[#This Row],[CODE FAB]],"_",Tableau4[[#This Row],[Num de Lot]])</f>
        <v>C07_GRIS MOYEN_NM15-07.00_65416</v>
      </c>
      <c r="B61" s="99" t="s">
        <v>103</v>
      </c>
      <c r="C61" s="99" t="s">
        <v>254</v>
      </c>
      <c r="D61" s="99" t="s">
        <v>253</v>
      </c>
      <c r="E61" s="99" t="s">
        <v>255</v>
      </c>
      <c r="F61" s="99">
        <v>65416</v>
      </c>
      <c r="G61" s="99" t="s">
        <v>431</v>
      </c>
      <c r="H61" s="100">
        <v>0</v>
      </c>
      <c r="I61" s="101">
        <v>0</v>
      </c>
      <c r="J61" s="102">
        <v>0</v>
      </c>
      <c r="K61" s="101">
        <v>1047.6600000000001</v>
      </c>
      <c r="L61" s="102">
        <v>0</v>
      </c>
      <c r="M61" s="101">
        <v>0</v>
      </c>
      <c r="N61" s="102">
        <v>0</v>
      </c>
      <c r="O61" s="101">
        <v>0</v>
      </c>
      <c r="P61" s="101">
        <v>1047.6600000000001</v>
      </c>
    </row>
    <row r="62" spans="1:16" ht="16.5" thickTop="1" thickBot="1" x14ac:dyDescent="0.3">
      <c r="A62" s="103" t="str">
        <f>CONCATENATE(Tableau4[[#This Row],[CODE COM]],"_",Tableau4[[#This Row],[COULEUR]],"_",Tableau4[[#This Row],[CODE FAB]],"_",Tableau4[[#This Row],[Num de Lot]])</f>
        <v>C07_GRIS MOYEN_NM15-07.01_S2023</v>
      </c>
      <c r="B62" s="99" t="s">
        <v>103</v>
      </c>
      <c r="C62" s="99" t="s">
        <v>254</v>
      </c>
      <c r="D62" s="99" t="s">
        <v>253</v>
      </c>
      <c r="E62" s="99" t="s">
        <v>252</v>
      </c>
      <c r="F62" s="99" t="s">
        <v>69</v>
      </c>
      <c r="G62" s="99" t="s">
        <v>431</v>
      </c>
      <c r="H62" s="100">
        <v>0</v>
      </c>
      <c r="I62" s="101">
        <v>108.5</v>
      </c>
      <c r="J62" s="102">
        <v>396</v>
      </c>
      <c r="K62" s="101">
        <v>1386</v>
      </c>
      <c r="L62" s="102">
        <v>0</v>
      </c>
      <c r="M62" s="101">
        <v>0</v>
      </c>
      <c r="N62" s="102">
        <v>0</v>
      </c>
      <c r="O62" s="101">
        <v>0</v>
      </c>
      <c r="P62" s="101">
        <v>1494.5</v>
      </c>
    </row>
    <row r="63" spans="1:16" ht="28.5" thickTop="1" thickBot="1" x14ac:dyDescent="0.3">
      <c r="A63" s="103" t="str">
        <f>CONCATENATE(Tableau4[[#This Row],[CODE COM]],"_",Tableau4[[#This Row],[COULEUR]],"_",Tableau4[[#This Row],[CODE FAB]],"_",Tableau4[[#This Row],[Num de Lot]])</f>
        <v>C08_GRIS ANTHRACITE_NM10-08.00_61463</v>
      </c>
      <c r="B63" s="99" t="s">
        <v>116</v>
      </c>
      <c r="C63" s="99" t="s">
        <v>249</v>
      </c>
      <c r="D63" s="99" t="s">
        <v>248</v>
      </c>
      <c r="E63" s="99" t="s">
        <v>251</v>
      </c>
      <c r="F63" s="99">
        <v>61463</v>
      </c>
      <c r="G63" s="99" t="s">
        <v>431</v>
      </c>
      <c r="H63" s="100">
        <v>0</v>
      </c>
      <c r="I63" s="101">
        <v>0</v>
      </c>
      <c r="J63" s="102">
        <v>0</v>
      </c>
      <c r="K63" s="101">
        <v>0</v>
      </c>
      <c r="L63" s="102">
        <v>0</v>
      </c>
      <c r="M63" s="101">
        <v>0</v>
      </c>
      <c r="N63" s="102">
        <v>142</v>
      </c>
      <c r="O63" s="101">
        <v>497</v>
      </c>
      <c r="P63" s="101">
        <v>497</v>
      </c>
    </row>
    <row r="64" spans="1:16" ht="28.5" thickTop="1" thickBot="1" x14ac:dyDescent="0.3">
      <c r="A64" s="103" t="str">
        <f>CONCATENATE(Tableau4[[#This Row],[CODE COM]],"_",Tableau4[[#This Row],[COULEUR]],"_",Tableau4[[#This Row],[CODE FAB]],"_",Tableau4[[#This Row],[Num de Lot]])</f>
        <v>C08_GRIS ANTHRACITE_NM15-08.00_59358</v>
      </c>
      <c r="B64" s="99" t="s">
        <v>103</v>
      </c>
      <c r="C64" s="99" t="s">
        <v>249</v>
      </c>
      <c r="D64" s="99" t="s">
        <v>248</v>
      </c>
      <c r="E64" s="99" t="s">
        <v>250</v>
      </c>
      <c r="F64" s="99">
        <v>59358</v>
      </c>
      <c r="G64" s="99" t="s">
        <v>431</v>
      </c>
      <c r="H64" s="100">
        <v>0</v>
      </c>
      <c r="I64" s="101">
        <v>163.19999999999999</v>
      </c>
      <c r="J64" s="102">
        <v>500</v>
      </c>
      <c r="K64" s="101">
        <v>1750</v>
      </c>
      <c r="L64" s="102">
        <v>0</v>
      </c>
      <c r="M64" s="101">
        <v>0</v>
      </c>
      <c r="N64" s="102">
        <v>0</v>
      </c>
      <c r="O64" s="101">
        <v>0</v>
      </c>
      <c r="P64" s="101">
        <v>1913.2</v>
      </c>
    </row>
    <row r="65" spans="1:16" ht="16.5" thickTop="1" thickBot="1" x14ac:dyDescent="0.3">
      <c r="A65" s="103" t="str">
        <f>CONCATENATE(Tableau4[[#This Row],[CODE COM]],"_",Tableau4[[#This Row],[COULEUR]],"_",Tableau4[[#This Row],[CODE FAB]],"_",Tableau4[[#This Row],[Num de Lot]])</f>
        <v>C09_NOIR_NM05-09.00_59713</v>
      </c>
      <c r="B65" s="99" t="s">
        <v>119</v>
      </c>
      <c r="C65" s="99" t="s">
        <v>240</v>
      </c>
      <c r="D65" s="99" t="s">
        <v>239</v>
      </c>
      <c r="E65" s="99" t="s">
        <v>246</v>
      </c>
      <c r="F65" s="99">
        <v>59713</v>
      </c>
      <c r="G65" s="99" t="s">
        <v>431</v>
      </c>
      <c r="H65" s="100">
        <v>54</v>
      </c>
      <c r="I65" s="101">
        <v>465</v>
      </c>
      <c r="J65" s="102">
        <v>0</v>
      </c>
      <c r="K65" s="101">
        <v>0</v>
      </c>
      <c r="L65" s="102">
        <v>842</v>
      </c>
      <c r="M65" s="101">
        <v>2947</v>
      </c>
      <c r="N65" s="102">
        <v>755</v>
      </c>
      <c r="O65" s="101">
        <v>2642.5</v>
      </c>
      <c r="P65" s="101">
        <v>6054.5</v>
      </c>
    </row>
    <row r="66" spans="1:16" ht="16.5" thickTop="1" thickBot="1" x14ac:dyDescent="0.3">
      <c r="A66" s="103" t="str">
        <f>CONCATENATE(Tableau4[[#This Row],[CODE COM]],"_",Tableau4[[#This Row],[COULEUR]],"_",Tableau4[[#This Row],[CODE FAB]],"_",Tableau4[[#This Row],[Num de Lot]])</f>
        <v>C09_NOIR_NM07-09.00_S2023</v>
      </c>
      <c r="B66" s="99" t="s">
        <v>143</v>
      </c>
      <c r="C66" s="99" t="s">
        <v>240</v>
      </c>
      <c r="D66" s="99" t="s">
        <v>239</v>
      </c>
      <c r="E66" s="99" t="s">
        <v>245</v>
      </c>
      <c r="F66" s="99" t="s">
        <v>69</v>
      </c>
      <c r="G66" s="99" t="s">
        <v>431</v>
      </c>
      <c r="H66" s="100">
        <v>0</v>
      </c>
      <c r="I66" s="101">
        <v>0</v>
      </c>
      <c r="J66" s="102">
        <v>0</v>
      </c>
      <c r="K66" s="101">
        <v>0</v>
      </c>
      <c r="L66" s="102">
        <v>0</v>
      </c>
      <c r="M66" s="101">
        <v>0</v>
      </c>
      <c r="N66" s="102">
        <v>0</v>
      </c>
      <c r="O66" s="101">
        <v>0</v>
      </c>
      <c r="P66" s="101">
        <v>0</v>
      </c>
    </row>
    <row r="67" spans="1:16" ht="16.5" thickTop="1" thickBot="1" x14ac:dyDescent="0.3">
      <c r="A67" s="103" t="str">
        <f>CONCATENATE(Tableau4[[#This Row],[CODE COM]],"_",Tableau4[[#This Row],[COULEUR]],"_",Tableau4[[#This Row],[CODE FAB]],"_",Tableau4[[#This Row],[Num de Lot]])</f>
        <v>C09_BLEU NUIT_NM10-09.00_59176</v>
      </c>
      <c r="B67" s="99" t="s">
        <v>116</v>
      </c>
      <c r="C67" s="99" t="s">
        <v>244</v>
      </c>
      <c r="D67" s="99" t="s">
        <v>239</v>
      </c>
      <c r="E67" s="99" t="s">
        <v>243</v>
      </c>
      <c r="F67" s="99">
        <v>59176</v>
      </c>
      <c r="G67" s="99" t="s">
        <v>431</v>
      </c>
      <c r="H67" s="100">
        <v>0</v>
      </c>
      <c r="I67" s="101">
        <v>199</v>
      </c>
      <c r="J67" s="102">
        <v>0</v>
      </c>
      <c r="K67" s="101">
        <v>0</v>
      </c>
      <c r="L67" s="102">
        <v>0</v>
      </c>
      <c r="M67" s="101">
        <v>0</v>
      </c>
      <c r="N67" s="102">
        <v>145</v>
      </c>
      <c r="O67" s="101">
        <v>507.5</v>
      </c>
      <c r="P67" s="101">
        <v>706.5</v>
      </c>
    </row>
    <row r="68" spans="1:16" ht="16.5" thickTop="1" thickBot="1" x14ac:dyDescent="0.3">
      <c r="A68" s="103" t="str">
        <f>CONCATENATE(Tableau4[[#This Row],[CODE COM]],"_",Tableau4[[#This Row],[COULEUR]],"_",Tableau4[[#This Row],[CODE FAB]],"_",Tableau4[[#This Row],[Num de Lot]])</f>
        <v>C09_NOIR_NM14-09.00_59635</v>
      </c>
      <c r="B68" s="99" t="s">
        <v>242</v>
      </c>
      <c r="C68" s="99" t="s">
        <v>240</v>
      </c>
      <c r="D68" s="99" t="s">
        <v>239</v>
      </c>
      <c r="E68" s="99" t="s">
        <v>241</v>
      </c>
      <c r="F68" s="99">
        <v>59635</v>
      </c>
      <c r="G68" s="99" t="s">
        <v>431</v>
      </c>
      <c r="H68" s="100">
        <v>74</v>
      </c>
      <c r="I68" s="101">
        <v>259</v>
      </c>
      <c r="J68" s="102">
        <v>0</v>
      </c>
      <c r="K68" s="101">
        <v>0</v>
      </c>
      <c r="L68" s="102">
        <v>0</v>
      </c>
      <c r="M68" s="101">
        <v>0</v>
      </c>
      <c r="N68" s="102">
        <v>265</v>
      </c>
      <c r="O68" s="101">
        <v>927.5</v>
      </c>
      <c r="P68" s="101">
        <v>1186.5</v>
      </c>
    </row>
    <row r="69" spans="1:16" ht="16.5" thickTop="1" thickBot="1" x14ac:dyDescent="0.3">
      <c r="A69" s="103" t="str">
        <f>CONCATENATE(Tableau4[[#This Row],[CODE COM]],"_",Tableau4[[#This Row],[COULEUR]],"_",Tableau4[[#This Row],[CODE FAB]],"_",Tableau4[[#This Row],[Num de Lot]])</f>
        <v>C09_NOIR_NM15-09.00_61556</v>
      </c>
      <c r="B69" s="99" t="s">
        <v>103</v>
      </c>
      <c r="C69" s="99" t="s">
        <v>240</v>
      </c>
      <c r="D69" s="99" t="s">
        <v>239</v>
      </c>
      <c r="E69" s="99" t="s">
        <v>238</v>
      </c>
      <c r="F69" s="99">
        <v>61556</v>
      </c>
      <c r="G69" s="99" t="s">
        <v>431</v>
      </c>
      <c r="H69" s="100">
        <v>0</v>
      </c>
      <c r="I69" s="101">
        <v>0</v>
      </c>
      <c r="J69" s="102">
        <v>0</v>
      </c>
      <c r="K69" s="101">
        <v>0</v>
      </c>
      <c r="L69" s="102">
        <v>0</v>
      </c>
      <c r="M69" s="101">
        <v>0</v>
      </c>
      <c r="N69" s="102">
        <v>0</v>
      </c>
      <c r="O69" s="101">
        <v>0</v>
      </c>
      <c r="P69" s="101">
        <v>0</v>
      </c>
    </row>
    <row r="70" spans="1:16" ht="16.5" thickTop="1" thickBot="1" x14ac:dyDescent="0.3">
      <c r="A70" s="103" t="str">
        <f>CONCATENATE(Tableau4[[#This Row],[CODE COM]],"_",Tableau4[[#This Row],[COULEUR]],"_",Tableau4[[#This Row],[CODE FAB]],"_",Tableau4[[#This Row],[Num de Lot]])</f>
        <v>C09_NOIR_NM15-09.00_65231</v>
      </c>
      <c r="B70" s="99" t="s">
        <v>103</v>
      </c>
      <c r="C70" s="99" t="s">
        <v>240</v>
      </c>
      <c r="D70" s="99" t="s">
        <v>239</v>
      </c>
      <c r="E70" s="99" t="s">
        <v>238</v>
      </c>
      <c r="F70" s="99">
        <v>65231</v>
      </c>
      <c r="G70" s="99" t="s">
        <v>431</v>
      </c>
      <c r="H70" s="100">
        <v>0</v>
      </c>
      <c r="I70" s="101">
        <v>0</v>
      </c>
      <c r="J70" s="102">
        <v>0</v>
      </c>
      <c r="K70" s="101">
        <v>1059.6300000000001</v>
      </c>
      <c r="L70" s="102">
        <v>0</v>
      </c>
      <c r="M70" s="101">
        <v>0</v>
      </c>
      <c r="N70" s="102">
        <v>0</v>
      </c>
      <c r="O70" s="101">
        <v>0</v>
      </c>
      <c r="P70" s="101">
        <v>1059.6300000000001</v>
      </c>
    </row>
    <row r="71" spans="1:16" ht="16.5" thickTop="1" thickBot="1" x14ac:dyDescent="0.3">
      <c r="A71" s="103" t="str">
        <f>CONCATENATE(Tableau4[[#This Row],[CODE COM]],"_",Tableau4[[#This Row],[COULEUR]],"_",Tableau4[[#This Row],[CODE FAB]],"_",Tableau4[[#This Row],[Num de Lot]])</f>
        <v>C10_BLEU MARINE_NM15-10.00_61462</v>
      </c>
      <c r="B71" s="99" t="s">
        <v>103</v>
      </c>
      <c r="C71" s="99" t="s">
        <v>237</v>
      </c>
      <c r="D71" s="99" t="s">
        <v>236</v>
      </c>
      <c r="E71" s="99" t="s">
        <v>235</v>
      </c>
      <c r="F71" s="99">
        <v>61462</v>
      </c>
      <c r="G71" s="99" t="s">
        <v>431</v>
      </c>
      <c r="H71" s="100">
        <v>0</v>
      </c>
      <c r="I71" s="101">
        <v>68.099999999999994</v>
      </c>
      <c r="J71" s="102">
        <v>0</v>
      </c>
      <c r="K71" s="101">
        <v>0</v>
      </c>
      <c r="L71" s="102">
        <v>0</v>
      </c>
      <c r="M71" s="101">
        <v>0</v>
      </c>
      <c r="N71" s="102">
        <v>0</v>
      </c>
      <c r="O71" s="101">
        <v>0</v>
      </c>
      <c r="P71" s="101">
        <v>68.099999999999994</v>
      </c>
    </row>
    <row r="72" spans="1:16" ht="16.5" thickTop="1" thickBot="1" x14ac:dyDescent="0.3">
      <c r="A72" s="103" t="str">
        <f>CONCATENATE(Tableau4[[#This Row],[CODE COM]],"_",Tableau4[[#This Row],[COULEUR]],"_",Tableau4[[#This Row],[CODE FAB]],"_",Tableau4[[#This Row],[Num de Lot]])</f>
        <v>C10_BLEU MARINE_NM15-10.00_65322</v>
      </c>
      <c r="B72" s="99" t="s">
        <v>103</v>
      </c>
      <c r="C72" s="99" t="s">
        <v>237</v>
      </c>
      <c r="D72" s="99" t="s">
        <v>236</v>
      </c>
      <c r="E72" s="99" t="s">
        <v>235</v>
      </c>
      <c r="F72" s="99">
        <v>65322</v>
      </c>
      <c r="G72" s="99" t="s">
        <v>431</v>
      </c>
      <c r="H72" s="100">
        <v>0</v>
      </c>
      <c r="I72" s="101">
        <v>0</v>
      </c>
      <c r="J72" s="102">
        <v>0</v>
      </c>
      <c r="K72" s="101">
        <v>2035.79</v>
      </c>
      <c r="L72" s="102">
        <v>0</v>
      </c>
      <c r="M72" s="101">
        <v>0</v>
      </c>
      <c r="N72" s="102">
        <v>0</v>
      </c>
      <c r="O72" s="101">
        <v>0</v>
      </c>
      <c r="P72" s="101">
        <v>2035.79</v>
      </c>
    </row>
    <row r="73" spans="1:16" ht="16.5" thickTop="1" thickBot="1" x14ac:dyDescent="0.3">
      <c r="A73" s="103" t="str">
        <f>CONCATENATE(Tableau4[[#This Row],[CODE COM]],"_",Tableau4[[#This Row],[COULEUR]],"_",Tableau4[[#This Row],[CODE FAB]],"_",Tableau4[[#This Row],[Num de Lot]])</f>
        <v>C11_BLEU GITANE_NM15-11.00_61659</v>
      </c>
      <c r="B73" s="99" t="s">
        <v>103</v>
      </c>
      <c r="C73" s="99" t="s">
        <v>233</v>
      </c>
      <c r="D73" s="99" t="s">
        <v>232</v>
      </c>
      <c r="E73" s="99" t="s">
        <v>234</v>
      </c>
      <c r="F73" s="99">
        <v>61659</v>
      </c>
      <c r="G73" s="99" t="s">
        <v>431</v>
      </c>
      <c r="H73" s="100">
        <v>0</v>
      </c>
      <c r="I73" s="101">
        <v>71</v>
      </c>
      <c r="J73" s="102">
        <v>194</v>
      </c>
      <c r="K73" s="101">
        <v>679</v>
      </c>
      <c r="L73" s="102">
        <v>0</v>
      </c>
      <c r="M73" s="101">
        <v>0</v>
      </c>
      <c r="N73" s="102">
        <v>0</v>
      </c>
      <c r="O73" s="101">
        <v>0</v>
      </c>
      <c r="P73" s="101">
        <v>750</v>
      </c>
    </row>
    <row r="74" spans="1:16" ht="16.5" thickTop="1" thickBot="1" x14ac:dyDescent="0.3">
      <c r="A74" s="103" t="str">
        <f>CONCATENATE(Tableau4[[#This Row],[CODE COM]],"_",Tableau4[[#This Row],[COULEUR]],"_",Tableau4[[#This Row],[CODE FAB]],"_",Tableau4[[#This Row],[Num de Lot]])</f>
        <v>C11_BLEU GITANE_NM15-11.01_S2023</v>
      </c>
      <c r="B74" s="99" t="s">
        <v>103</v>
      </c>
      <c r="C74" s="99" t="s">
        <v>233</v>
      </c>
      <c r="D74" s="99" t="s">
        <v>232</v>
      </c>
      <c r="E74" s="99" t="s">
        <v>231</v>
      </c>
      <c r="F74" s="99" t="s">
        <v>69</v>
      </c>
      <c r="G74" s="99" t="s">
        <v>431</v>
      </c>
      <c r="H74" s="100">
        <v>0</v>
      </c>
      <c r="I74" s="101">
        <v>0</v>
      </c>
      <c r="J74" s="102">
        <v>0</v>
      </c>
      <c r="K74" s="101">
        <v>0</v>
      </c>
      <c r="L74" s="102">
        <v>0</v>
      </c>
      <c r="M74" s="101">
        <v>0</v>
      </c>
      <c r="N74" s="102">
        <v>0</v>
      </c>
      <c r="O74" s="101">
        <v>0</v>
      </c>
      <c r="P74" s="101">
        <v>0</v>
      </c>
    </row>
    <row r="75" spans="1:16" ht="16.5" thickTop="1" thickBot="1" x14ac:dyDescent="0.3">
      <c r="A75" s="103" t="str">
        <f>CONCATENATE(Tableau4[[#This Row],[CODE COM]],"_",Tableau4[[#This Row],[COULEUR]],"_",Tableau4[[#This Row],[CODE FAB]],"_",Tableau4[[#This Row],[Num de Lot]])</f>
        <v>C12_BLEU JEANS_NM05-12.00_S2023</v>
      </c>
      <c r="B75" s="99" t="s">
        <v>119</v>
      </c>
      <c r="C75" s="99" t="s">
        <v>224</v>
      </c>
      <c r="D75" s="99" t="s">
        <v>221</v>
      </c>
      <c r="E75" s="99" t="s">
        <v>230</v>
      </c>
      <c r="F75" s="99" t="s">
        <v>69</v>
      </c>
      <c r="G75" s="99" t="s">
        <v>431</v>
      </c>
      <c r="H75" s="100">
        <v>0</v>
      </c>
      <c r="I75" s="101">
        <v>0</v>
      </c>
      <c r="J75" s="102">
        <v>0</v>
      </c>
      <c r="K75" s="101">
        <v>0</v>
      </c>
      <c r="L75" s="102">
        <v>0</v>
      </c>
      <c r="M75" s="101">
        <v>0</v>
      </c>
      <c r="N75" s="102">
        <v>2</v>
      </c>
      <c r="O75" s="101">
        <v>7</v>
      </c>
      <c r="P75" s="101">
        <v>7</v>
      </c>
    </row>
    <row r="76" spans="1:16" ht="16.5" thickTop="1" thickBot="1" x14ac:dyDescent="0.3">
      <c r="A76" s="103" t="str">
        <f>CONCATENATE(Tableau4[[#This Row],[CODE COM]],"_",Tableau4[[#This Row],[COULEUR]],"_",Tableau4[[#This Row],[CODE FAB]],"_",Tableau4[[#This Row],[Num de Lot]])</f>
        <v>C12_BLEU JEANS_NM12.2-12.00_S2023</v>
      </c>
      <c r="B76" s="99" t="s">
        <v>257</v>
      </c>
      <c r="C76" s="99" t="s">
        <v>224</v>
      </c>
      <c r="D76" s="99" t="s">
        <v>221</v>
      </c>
      <c r="E76" s="99" t="s">
        <v>228</v>
      </c>
      <c r="F76" s="99" t="s">
        <v>69</v>
      </c>
      <c r="G76" s="99" t="s">
        <v>431</v>
      </c>
      <c r="H76" s="100">
        <v>0</v>
      </c>
      <c r="I76" s="101">
        <v>3.4</v>
      </c>
      <c r="J76" s="102">
        <v>0</v>
      </c>
      <c r="K76" s="101">
        <v>0</v>
      </c>
      <c r="L76" s="102">
        <v>0</v>
      </c>
      <c r="M76" s="101">
        <v>0</v>
      </c>
      <c r="N76" s="102">
        <v>0</v>
      </c>
      <c r="O76" s="101">
        <v>0</v>
      </c>
      <c r="P76" s="101">
        <v>3.4</v>
      </c>
    </row>
    <row r="77" spans="1:16" ht="16.5" thickTop="1" thickBot="1" x14ac:dyDescent="0.3">
      <c r="A77" s="103" t="str">
        <f>CONCATENATE(Tableau4[[#This Row],[CODE COM]],"_",Tableau4[[#This Row],[COULEUR]],"_",Tableau4[[#This Row],[CODE FAB]],"_",Tableau4[[#This Row],[Num de Lot]])</f>
        <v>C12_BLEU DJEAN_NM15-12.00_65305</v>
      </c>
      <c r="B77" s="99" t="s">
        <v>103</v>
      </c>
      <c r="C77" s="99" t="s">
        <v>227</v>
      </c>
      <c r="D77" s="99" t="s">
        <v>221</v>
      </c>
      <c r="E77" s="99" t="s">
        <v>226</v>
      </c>
      <c r="F77" s="99">
        <v>65305</v>
      </c>
      <c r="G77" s="99" t="s">
        <v>431</v>
      </c>
      <c r="H77" s="100">
        <v>0</v>
      </c>
      <c r="I77" s="101">
        <v>0</v>
      </c>
      <c r="J77" s="102">
        <v>0</v>
      </c>
      <c r="K77" s="101">
        <v>2109.54</v>
      </c>
      <c r="L77" s="102">
        <v>0</v>
      </c>
      <c r="M77" s="101">
        <v>0</v>
      </c>
      <c r="N77" s="102">
        <v>0</v>
      </c>
      <c r="O77" s="101">
        <v>0</v>
      </c>
      <c r="P77" s="101">
        <v>2109.54</v>
      </c>
    </row>
    <row r="78" spans="1:16" ht="16.5" thickTop="1" thickBot="1" x14ac:dyDescent="0.3">
      <c r="A78" s="103" t="str">
        <f>CONCATENATE(Tableau4[[#This Row],[CODE COM]],"_",Tableau4[[#This Row],[COULEUR]],"_",Tableau4[[#This Row],[CODE FAB]],"_",Tableau4[[#This Row],[Num de Lot]])</f>
        <v>C12_BLEU DJEAN_NM15-12.00_S2023</v>
      </c>
      <c r="B78" s="99" t="s">
        <v>103</v>
      </c>
      <c r="C78" s="99" t="s">
        <v>227</v>
      </c>
      <c r="D78" s="99" t="s">
        <v>221</v>
      </c>
      <c r="E78" s="99" t="s">
        <v>226</v>
      </c>
      <c r="F78" s="99" t="s">
        <v>69</v>
      </c>
      <c r="G78" s="99" t="s">
        <v>431</v>
      </c>
      <c r="H78" s="100">
        <v>0</v>
      </c>
      <c r="I78" s="101">
        <v>226.5</v>
      </c>
      <c r="J78" s="102">
        <v>0</v>
      </c>
      <c r="K78" s="101">
        <v>0</v>
      </c>
      <c r="L78" s="102">
        <v>0</v>
      </c>
      <c r="M78" s="101">
        <v>0</v>
      </c>
      <c r="N78" s="102">
        <v>0</v>
      </c>
      <c r="O78" s="101">
        <v>0</v>
      </c>
      <c r="P78" s="101">
        <v>226.5</v>
      </c>
    </row>
    <row r="79" spans="1:16" ht="16.5" thickTop="1" thickBot="1" x14ac:dyDescent="0.3">
      <c r="A79" s="103" t="str">
        <f>CONCATENATE(Tableau4[[#This Row],[CODE COM]],"_",Tableau4[[#This Row],[COULEUR]],"_",Tableau4[[#This Row],[CODE FAB]],"_",Tableau4[[#This Row],[Num de Lot]])</f>
        <v>C12_BLEU JEANS_NM20-12.01_S2023</v>
      </c>
      <c r="B79" s="99" t="s">
        <v>82</v>
      </c>
      <c r="C79" s="99" t="s">
        <v>224</v>
      </c>
      <c r="D79" s="99" t="s">
        <v>221</v>
      </c>
      <c r="E79" s="99" t="s">
        <v>223</v>
      </c>
      <c r="F79" s="99" t="s">
        <v>69</v>
      </c>
      <c r="G79" s="99" t="s">
        <v>431</v>
      </c>
      <c r="H79" s="100">
        <v>0</v>
      </c>
      <c r="I79" s="101">
        <v>35.25</v>
      </c>
      <c r="J79" s="102">
        <v>0</v>
      </c>
      <c r="K79" s="101">
        <v>0</v>
      </c>
      <c r="L79" s="102">
        <v>0</v>
      </c>
      <c r="M79" s="101">
        <v>0</v>
      </c>
      <c r="N79" s="102">
        <v>0</v>
      </c>
      <c r="O79" s="101">
        <v>0</v>
      </c>
      <c r="P79" s="101">
        <v>35.25</v>
      </c>
    </row>
    <row r="80" spans="1:16" ht="16.5" thickTop="1" thickBot="1" x14ac:dyDescent="0.3">
      <c r="A80" s="103" t="str">
        <f>CONCATENATE(Tableau4[[#This Row],[CODE COM]],"_",Tableau4[[#This Row],[COULEUR]],"_",Tableau4[[#This Row],[CODE FAB]],"_",Tableau4[[#This Row],[Num de Lot]])</f>
        <v>C12_BLEU DELAVE_NM20-12.00_S2024</v>
      </c>
      <c r="B80" s="99" t="s">
        <v>82</v>
      </c>
      <c r="C80" s="99" t="s">
        <v>222</v>
      </c>
      <c r="D80" s="99" t="s">
        <v>221</v>
      </c>
      <c r="E80" s="99" t="s">
        <v>225</v>
      </c>
      <c r="F80" s="99" t="s">
        <v>175</v>
      </c>
      <c r="G80" s="99" t="s">
        <v>431</v>
      </c>
      <c r="H80" s="100">
        <v>0</v>
      </c>
      <c r="I80" s="101">
        <v>58</v>
      </c>
      <c r="J80" s="102">
        <v>0</v>
      </c>
      <c r="K80" s="101">
        <v>0</v>
      </c>
      <c r="L80" s="102">
        <v>0</v>
      </c>
      <c r="M80" s="101">
        <v>0</v>
      </c>
      <c r="N80" s="102">
        <v>0</v>
      </c>
      <c r="O80" s="101">
        <v>0</v>
      </c>
      <c r="P80" s="101">
        <v>58</v>
      </c>
    </row>
    <row r="81" spans="1:16" ht="16.5" thickTop="1" thickBot="1" x14ac:dyDescent="0.3">
      <c r="A81" s="103" t="str">
        <f>CONCATENATE(Tableau4[[#This Row],[CODE COM]],"_",Tableau4[[#This Row],[COULEUR]],"_",Tableau4[[#This Row],[CODE FAB]],"_",Tableau4[[#This Row],[Num de Lot]])</f>
        <v>C12_BLEU DELAVE_NM34-12.00_S2024</v>
      </c>
      <c r="B81" s="99" t="s">
        <v>179</v>
      </c>
      <c r="C81" s="99" t="s">
        <v>222</v>
      </c>
      <c r="D81" s="99" t="s">
        <v>221</v>
      </c>
      <c r="E81" s="99" t="s">
        <v>220</v>
      </c>
      <c r="F81" s="99" t="s">
        <v>175</v>
      </c>
      <c r="G81" s="99" t="s">
        <v>431</v>
      </c>
      <c r="H81" s="100">
        <v>0</v>
      </c>
      <c r="I81" s="101">
        <v>48</v>
      </c>
      <c r="J81" s="102">
        <v>0</v>
      </c>
      <c r="K81" s="101">
        <v>0</v>
      </c>
      <c r="L81" s="102">
        <v>0</v>
      </c>
      <c r="M81" s="101">
        <v>0</v>
      </c>
      <c r="N81" s="102">
        <v>0</v>
      </c>
      <c r="O81" s="101">
        <v>0</v>
      </c>
      <c r="P81" s="101">
        <v>48</v>
      </c>
    </row>
    <row r="82" spans="1:16" ht="16.5" thickTop="1" thickBot="1" x14ac:dyDescent="0.3">
      <c r="A82" s="103" t="str">
        <f>CONCATENATE(Tableau4[[#This Row],[CODE COM]],"_",Tableau4[[#This Row],[COULEUR]],"_",Tableau4[[#This Row],[CODE FAB]],"_",Tableau4[[#This Row],[Num de Lot]])</f>
        <v>C13_BLEU ROI_NM15-13.00_61519</v>
      </c>
      <c r="B82" s="99" t="s">
        <v>103</v>
      </c>
      <c r="C82" s="99" t="s">
        <v>218</v>
      </c>
      <c r="D82" s="99" t="s">
        <v>217</v>
      </c>
      <c r="E82" s="99" t="s">
        <v>219</v>
      </c>
      <c r="F82" s="99">
        <v>61519</v>
      </c>
      <c r="G82" s="99" t="s">
        <v>431</v>
      </c>
      <c r="H82" s="100">
        <v>0</v>
      </c>
      <c r="I82" s="101">
        <v>4</v>
      </c>
      <c r="J82" s="102">
        <v>0</v>
      </c>
      <c r="K82" s="101">
        <v>0</v>
      </c>
      <c r="L82" s="102">
        <v>0</v>
      </c>
      <c r="M82" s="101">
        <v>0</v>
      </c>
      <c r="N82" s="102">
        <v>0</v>
      </c>
      <c r="O82" s="101">
        <v>0</v>
      </c>
      <c r="P82" s="101">
        <v>4</v>
      </c>
    </row>
    <row r="83" spans="1:16" ht="16.5" thickTop="1" thickBot="1" x14ac:dyDescent="0.3">
      <c r="A83" s="103" t="str">
        <f>CONCATENATE(Tableau4[[#This Row],[CODE COM]],"_",Tableau4[[#This Row],[COULEUR]],"_",Tableau4[[#This Row],[CODE FAB]],"_",Tableau4[[#This Row],[Num de Lot]])</f>
        <v>C13_BLEU ROI_NM15-13.00_65299</v>
      </c>
      <c r="B83" s="99" t="s">
        <v>103</v>
      </c>
      <c r="C83" s="99" t="s">
        <v>218</v>
      </c>
      <c r="D83" s="99" t="s">
        <v>217</v>
      </c>
      <c r="E83" s="99" t="s">
        <v>219</v>
      </c>
      <c r="F83" s="99">
        <v>65299</v>
      </c>
      <c r="G83" s="99" t="s">
        <v>431</v>
      </c>
      <c r="H83" s="100">
        <v>0</v>
      </c>
      <c r="I83" s="101">
        <v>0</v>
      </c>
      <c r="J83" s="102">
        <v>0</v>
      </c>
      <c r="K83" s="101">
        <v>2090.04</v>
      </c>
      <c r="L83" s="102">
        <v>0</v>
      </c>
      <c r="M83" s="101">
        <v>0</v>
      </c>
      <c r="N83" s="102">
        <v>0</v>
      </c>
      <c r="O83" s="101">
        <v>0</v>
      </c>
      <c r="P83" s="101">
        <v>2090.04</v>
      </c>
    </row>
    <row r="84" spans="1:16" ht="16.5" thickTop="1" thickBot="1" x14ac:dyDescent="0.3">
      <c r="A84" s="103" t="str">
        <f>CONCATENATE(Tableau4[[#This Row],[CODE COM]],"_",Tableau4[[#This Row],[COULEUR]],"_",Tableau4[[#This Row],[CODE FAB]],"_",Tableau4[[#This Row],[Num de Lot]])</f>
        <v>C13_BLEU ROI_NM20-13.00_S2023</v>
      </c>
      <c r="B84" s="99" t="s">
        <v>82</v>
      </c>
      <c r="C84" s="99" t="s">
        <v>218</v>
      </c>
      <c r="D84" s="99" t="s">
        <v>217</v>
      </c>
      <c r="E84" s="99" t="s">
        <v>216</v>
      </c>
      <c r="F84" s="99" t="s">
        <v>69</v>
      </c>
      <c r="G84" s="99" t="s">
        <v>431</v>
      </c>
      <c r="H84" s="100">
        <v>0</v>
      </c>
      <c r="I84" s="101">
        <v>141</v>
      </c>
      <c r="J84" s="102">
        <v>0</v>
      </c>
      <c r="K84" s="101">
        <v>0</v>
      </c>
      <c r="L84" s="102">
        <v>0</v>
      </c>
      <c r="M84" s="101">
        <v>0</v>
      </c>
      <c r="N84" s="102">
        <v>0</v>
      </c>
      <c r="O84" s="101">
        <v>0</v>
      </c>
      <c r="P84" s="101">
        <v>141</v>
      </c>
    </row>
    <row r="85" spans="1:16" ht="16.5" thickTop="1" thickBot="1" x14ac:dyDescent="0.3">
      <c r="A85" s="103" t="str">
        <f>CONCATENATE(Tableau4[[#This Row],[CODE COM]],"_",Tableau4[[#This Row],[COULEUR]],"_",Tableau4[[#This Row],[CODE FAB]],"_",Tableau4[[#This Row],[Num de Lot]])</f>
        <v>C13_BLEU ROI_NM20-13.00_S2023</v>
      </c>
      <c r="B85" s="99" t="s">
        <v>82</v>
      </c>
      <c r="C85" s="99" t="s">
        <v>218</v>
      </c>
      <c r="D85" s="99" t="s">
        <v>217</v>
      </c>
      <c r="E85" s="99" t="s">
        <v>216</v>
      </c>
      <c r="F85" s="99" t="s">
        <v>69</v>
      </c>
      <c r="G85" s="99" t="s">
        <v>431</v>
      </c>
      <c r="H85" s="100">
        <v>0</v>
      </c>
      <c r="I85" s="101">
        <v>311.5</v>
      </c>
      <c r="J85" s="102">
        <v>0</v>
      </c>
      <c r="K85" s="101">
        <v>0</v>
      </c>
      <c r="L85" s="102">
        <v>0</v>
      </c>
      <c r="M85" s="101">
        <v>0</v>
      </c>
      <c r="N85" s="102">
        <v>0</v>
      </c>
      <c r="O85" s="101">
        <v>0</v>
      </c>
      <c r="P85" s="101">
        <v>311.5</v>
      </c>
    </row>
    <row r="86" spans="1:16" ht="16.5" thickTop="1" thickBot="1" x14ac:dyDescent="0.3">
      <c r="A86" s="103" t="str">
        <f>CONCATENATE(Tableau4[[#This Row],[CODE COM]],"_",Tableau4[[#This Row],[COULEUR]],"_",Tableau4[[#This Row],[CODE FAB]],"_",Tableau4[[#This Row],[Num de Lot]])</f>
        <v>C14_TURQUOISE_NM05-14.00_60654</v>
      </c>
      <c r="B86" s="99" t="s">
        <v>119</v>
      </c>
      <c r="C86" s="99" t="s">
        <v>215</v>
      </c>
      <c r="D86" s="99" t="s">
        <v>211</v>
      </c>
      <c r="E86" s="99" t="s">
        <v>214</v>
      </c>
      <c r="F86" s="99">
        <v>60654</v>
      </c>
      <c r="G86" s="99" t="s">
        <v>431</v>
      </c>
      <c r="H86" s="100">
        <v>0</v>
      </c>
      <c r="I86" s="101">
        <v>0</v>
      </c>
      <c r="J86" s="102">
        <v>0</v>
      </c>
      <c r="K86" s="101">
        <v>0</v>
      </c>
      <c r="L86" s="102">
        <v>77</v>
      </c>
      <c r="M86" s="101">
        <v>269.5</v>
      </c>
      <c r="N86" s="102">
        <v>77</v>
      </c>
      <c r="O86" s="101">
        <v>269.5</v>
      </c>
      <c r="P86" s="101">
        <v>539</v>
      </c>
    </row>
    <row r="87" spans="1:16" ht="28.5" thickTop="1" thickBot="1" x14ac:dyDescent="0.3">
      <c r="A87" s="103" t="str">
        <f>CONCATENATE(Tableau4[[#This Row],[CODE COM]],"_",Tableau4[[#This Row],[COULEUR]],"_",Tableau4[[#This Row],[CODE FAB]],"_",Tableau4[[#This Row],[Num de Lot]])</f>
        <v>C14_BLEU TURQUOISE_NM15-14.00_61597</v>
      </c>
      <c r="B87" s="99" t="s">
        <v>103</v>
      </c>
      <c r="C87" s="99" t="s">
        <v>212</v>
      </c>
      <c r="D87" s="99" t="s">
        <v>211</v>
      </c>
      <c r="E87" s="99" t="s">
        <v>213</v>
      </c>
      <c r="F87" s="99">
        <v>61597</v>
      </c>
      <c r="G87" s="99" t="s">
        <v>431</v>
      </c>
      <c r="H87" s="100">
        <v>0</v>
      </c>
      <c r="I87" s="101">
        <v>59</v>
      </c>
      <c r="J87" s="102">
        <v>0</v>
      </c>
      <c r="K87" s="101">
        <v>0</v>
      </c>
      <c r="L87" s="102">
        <v>0</v>
      </c>
      <c r="M87" s="101">
        <v>0</v>
      </c>
      <c r="N87" s="102">
        <v>0</v>
      </c>
      <c r="O87" s="101">
        <v>0</v>
      </c>
      <c r="P87" s="101">
        <v>59</v>
      </c>
    </row>
    <row r="88" spans="1:16" ht="28.5" thickTop="1" thickBot="1" x14ac:dyDescent="0.3">
      <c r="A88" s="103" t="str">
        <f>CONCATENATE(Tableau4[[#This Row],[CODE COM]],"_",Tableau4[[#This Row],[COULEUR]],"_",Tableau4[[#This Row],[CODE FAB]],"_",Tableau4[[#This Row],[Num de Lot]])</f>
        <v>C14_BLEU TURQUOISE_NM15-14.00_65369</v>
      </c>
      <c r="B88" s="99" t="s">
        <v>103</v>
      </c>
      <c r="C88" s="99" t="s">
        <v>212</v>
      </c>
      <c r="D88" s="99" t="s">
        <v>211</v>
      </c>
      <c r="E88" s="99" t="s">
        <v>213</v>
      </c>
      <c r="F88" s="99">
        <v>65369</v>
      </c>
      <c r="G88" s="99" t="s">
        <v>431</v>
      </c>
      <c r="H88" s="100">
        <v>0</v>
      </c>
      <c r="I88" s="101">
        <v>0</v>
      </c>
      <c r="J88" s="102">
        <v>0</v>
      </c>
      <c r="K88" s="101">
        <v>592.94000000000005</v>
      </c>
      <c r="L88" s="102">
        <v>0</v>
      </c>
      <c r="M88" s="101">
        <v>0</v>
      </c>
      <c r="N88" s="102">
        <v>0</v>
      </c>
      <c r="O88" s="101">
        <v>0</v>
      </c>
      <c r="P88" s="101">
        <v>592.94000000000005</v>
      </c>
    </row>
    <row r="89" spans="1:16" ht="28.5" thickTop="1" thickBot="1" x14ac:dyDescent="0.3">
      <c r="A89" s="103" t="str">
        <f>CONCATENATE(Tableau4[[#This Row],[CODE COM]],"_",Tableau4[[#This Row],[COULEUR]],"_",Tableau4[[#This Row],[CODE FAB]],"_",Tableau4[[#This Row],[Num de Lot]])</f>
        <v>C14_BLEU TURQUOISE_NM15-14.01_S2023</v>
      </c>
      <c r="B89" s="99" t="s">
        <v>103</v>
      </c>
      <c r="C89" s="99" t="s">
        <v>212</v>
      </c>
      <c r="D89" s="99" t="s">
        <v>211</v>
      </c>
      <c r="E89" s="99" t="s">
        <v>330</v>
      </c>
      <c r="F89" s="99" t="s">
        <v>69</v>
      </c>
      <c r="G89" s="99" t="s">
        <v>431</v>
      </c>
      <c r="H89" s="100">
        <v>0</v>
      </c>
      <c r="I89" s="101">
        <v>0</v>
      </c>
      <c r="J89" s="102">
        <v>0</v>
      </c>
      <c r="K89" s="101">
        <v>0</v>
      </c>
      <c r="L89" s="102">
        <v>0</v>
      </c>
      <c r="M89" s="101">
        <v>0</v>
      </c>
      <c r="N89" s="102">
        <v>0</v>
      </c>
      <c r="O89" s="101">
        <v>0</v>
      </c>
      <c r="P89" s="101">
        <v>0</v>
      </c>
    </row>
    <row r="90" spans="1:16" ht="28.5" thickTop="1" thickBot="1" x14ac:dyDescent="0.3">
      <c r="A90" s="103" t="str">
        <f>CONCATENATE(Tableau4[[#This Row],[CODE COM]],"_",Tableau4[[#This Row],[COULEUR]],"_",Tableau4[[#This Row],[CODE FAB]],"_",Tableau4[[#This Row],[Num de Lot]])</f>
        <v>C14_BLEU TURQUOISE_NM20-14.01_S2023</v>
      </c>
      <c r="B90" s="99" t="s">
        <v>82</v>
      </c>
      <c r="C90" s="99" t="s">
        <v>212</v>
      </c>
      <c r="D90" s="99" t="s">
        <v>211</v>
      </c>
      <c r="E90" s="99" t="s">
        <v>210</v>
      </c>
      <c r="F90" s="99" t="s">
        <v>69</v>
      </c>
      <c r="G90" s="99" t="s">
        <v>431</v>
      </c>
      <c r="H90" s="100">
        <v>0</v>
      </c>
      <c r="I90" s="101">
        <v>0</v>
      </c>
      <c r="J90" s="102">
        <v>0</v>
      </c>
      <c r="K90" s="101">
        <v>0</v>
      </c>
      <c r="L90" s="102">
        <v>0</v>
      </c>
      <c r="M90" s="101">
        <v>0</v>
      </c>
      <c r="N90" s="102">
        <v>0</v>
      </c>
      <c r="O90" s="101">
        <v>0</v>
      </c>
      <c r="P90" s="101">
        <v>0</v>
      </c>
    </row>
    <row r="91" spans="1:16" ht="16.5" thickTop="1" thickBot="1" x14ac:dyDescent="0.3">
      <c r="A91" s="103" t="str">
        <f>CONCATENATE(Tableau4[[#This Row],[CODE COM]],"_",Tableau4[[#This Row],[COULEUR]],"_",Tableau4[[#This Row],[CODE FAB]],"_",Tableau4[[#This Row],[Num de Lot]])</f>
        <v>C15_LAGON_NM15-15.00_61645</v>
      </c>
      <c r="B91" s="99" t="s">
        <v>103</v>
      </c>
      <c r="C91" s="99" t="s">
        <v>208</v>
      </c>
      <c r="D91" s="99" t="s">
        <v>207</v>
      </c>
      <c r="E91" s="99" t="s">
        <v>209</v>
      </c>
      <c r="F91" s="99">
        <v>61645</v>
      </c>
      <c r="G91" s="99" t="s">
        <v>431</v>
      </c>
      <c r="H91" s="100">
        <v>44</v>
      </c>
      <c r="I91" s="101">
        <v>157</v>
      </c>
      <c r="J91" s="102">
        <v>0</v>
      </c>
      <c r="K91" s="101">
        <v>0</v>
      </c>
      <c r="L91" s="102">
        <v>0</v>
      </c>
      <c r="M91" s="101">
        <v>0</v>
      </c>
      <c r="N91" s="102">
        <v>0</v>
      </c>
      <c r="O91" s="101">
        <v>0</v>
      </c>
      <c r="P91" s="101">
        <v>157</v>
      </c>
    </row>
    <row r="92" spans="1:16" ht="16.5" thickTop="1" thickBot="1" x14ac:dyDescent="0.3">
      <c r="A92" s="103" t="str">
        <f>CONCATENATE(Tableau4[[#This Row],[CODE COM]],"_",Tableau4[[#This Row],[COULEUR]],"_",Tableau4[[#This Row],[CODE FAB]],"_",Tableau4[[#This Row],[Num de Lot]])</f>
        <v>C15_LAGON_NM15-15.00_65425</v>
      </c>
      <c r="B92" s="99" t="s">
        <v>103</v>
      </c>
      <c r="C92" s="99" t="s">
        <v>208</v>
      </c>
      <c r="D92" s="99" t="s">
        <v>207</v>
      </c>
      <c r="E92" s="99" t="s">
        <v>209</v>
      </c>
      <c r="F92" s="99">
        <v>65425</v>
      </c>
      <c r="G92" s="99" t="s">
        <v>431</v>
      </c>
      <c r="H92" s="100">
        <v>0</v>
      </c>
      <c r="I92" s="101">
        <v>0</v>
      </c>
      <c r="J92" s="102">
        <v>0</v>
      </c>
      <c r="K92" s="101">
        <v>179.22</v>
      </c>
      <c r="L92" s="102">
        <v>0</v>
      </c>
      <c r="M92" s="101">
        <v>0</v>
      </c>
      <c r="N92" s="102">
        <v>0</v>
      </c>
      <c r="O92" s="101">
        <v>0</v>
      </c>
      <c r="P92" s="101">
        <v>179.22</v>
      </c>
    </row>
    <row r="93" spans="1:16" ht="16.5" thickTop="1" thickBot="1" x14ac:dyDescent="0.3">
      <c r="A93" s="103" t="str">
        <f>CONCATENATE(Tableau4[[#This Row],[CODE COM]],"_",Tableau4[[#This Row],[COULEUR]],"_",Tableau4[[#This Row],[CODE FAB]],"_",Tableau4[[#This Row],[Num de Lot]])</f>
        <v>C15_LAGON_NM20-15.00_S2023</v>
      </c>
      <c r="B93" s="99" t="s">
        <v>82</v>
      </c>
      <c r="C93" s="99" t="s">
        <v>208</v>
      </c>
      <c r="D93" s="99" t="s">
        <v>207</v>
      </c>
      <c r="E93" s="99" t="s">
        <v>206</v>
      </c>
      <c r="F93" s="99" t="s">
        <v>69</v>
      </c>
      <c r="G93" s="99" t="s">
        <v>431</v>
      </c>
      <c r="H93" s="100">
        <v>0</v>
      </c>
      <c r="I93" s="101">
        <v>38</v>
      </c>
      <c r="J93" s="102">
        <v>0</v>
      </c>
      <c r="K93" s="101">
        <v>0</v>
      </c>
      <c r="L93" s="102">
        <v>0</v>
      </c>
      <c r="M93" s="101">
        <v>0</v>
      </c>
      <c r="N93" s="102">
        <v>0</v>
      </c>
      <c r="O93" s="101">
        <v>0</v>
      </c>
      <c r="P93" s="101">
        <v>38</v>
      </c>
    </row>
    <row r="94" spans="1:16" ht="16.5" thickTop="1" thickBot="1" x14ac:dyDescent="0.3">
      <c r="A94" s="103" t="str">
        <f>CONCATENATE(Tableau4[[#This Row],[CODE COM]],"_",Tableau4[[#This Row],[COULEUR]],"_",Tableau4[[#This Row],[CODE FAB]],"_",Tableau4[[#This Row],[Num de Lot]])</f>
        <v>C16_BLEU CIEL_NM15-16.00_61533</v>
      </c>
      <c r="B94" s="99" t="s">
        <v>103</v>
      </c>
      <c r="C94" s="99" t="s">
        <v>202</v>
      </c>
      <c r="D94" s="99" t="s">
        <v>201</v>
      </c>
      <c r="E94" s="99" t="s">
        <v>205</v>
      </c>
      <c r="F94" s="99">
        <v>61533</v>
      </c>
      <c r="G94" s="99" t="s">
        <v>431</v>
      </c>
      <c r="H94" s="100">
        <v>0</v>
      </c>
      <c r="I94" s="101">
        <v>62</v>
      </c>
      <c r="J94" s="102">
        <v>0</v>
      </c>
      <c r="K94" s="101">
        <v>0</v>
      </c>
      <c r="L94" s="102">
        <v>0</v>
      </c>
      <c r="M94" s="101">
        <v>0</v>
      </c>
      <c r="N94" s="102">
        <v>0</v>
      </c>
      <c r="O94" s="101">
        <v>0</v>
      </c>
      <c r="P94" s="101">
        <v>62</v>
      </c>
    </row>
    <row r="95" spans="1:16" ht="16.5" thickTop="1" thickBot="1" x14ac:dyDescent="0.3">
      <c r="A95" s="103" t="str">
        <f>CONCATENATE(Tableau4[[#This Row],[CODE COM]],"_",Tableau4[[#This Row],[COULEUR]],"_",Tableau4[[#This Row],[CODE FAB]],"_",Tableau4[[#This Row],[Num de Lot]])</f>
        <v>C16_GLACIER_NM15-16.01_61628</v>
      </c>
      <c r="B95" s="99" t="s">
        <v>103</v>
      </c>
      <c r="C95" s="99" t="s">
        <v>204</v>
      </c>
      <c r="D95" s="99" t="s">
        <v>201</v>
      </c>
      <c r="E95" s="99" t="s">
        <v>203</v>
      </c>
      <c r="F95" s="99">
        <v>61628</v>
      </c>
      <c r="G95" s="99" t="s">
        <v>431</v>
      </c>
      <c r="H95" s="100">
        <v>0</v>
      </c>
      <c r="I95" s="101">
        <v>11</v>
      </c>
      <c r="J95" s="102">
        <v>0</v>
      </c>
      <c r="K95" s="101">
        <v>0</v>
      </c>
      <c r="L95" s="102">
        <v>0</v>
      </c>
      <c r="M95" s="101">
        <v>0</v>
      </c>
      <c r="N95" s="102">
        <v>0</v>
      </c>
      <c r="O95" s="101">
        <v>0</v>
      </c>
      <c r="P95" s="101">
        <v>11</v>
      </c>
    </row>
    <row r="96" spans="1:16" ht="16.5" thickTop="1" thickBot="1" x14ac:dyDescent="0.3">
      <c r="A96" s="103" t="str">
        <f>CONCATENATE(Tableau4[[#This Row],[CODE COM]],"_",Tableau4[[#This Row],[COULEUR]],"_",Tableau4[[#This Row],[CODE FAB]],"_",Tableau4[[#This Row],[Num de Lot]])</f>
        <v>C16_BLEU CIEL_NM15-16.00_65327</v>
      </c>
      <c r="B96" s="99" t="s">
        <v>103</v>
      </c>
      <c r="C96" s="99" t="s">
        <v>202</v>
      </c>
      <c r="D96" s="99" t="s">
        <v>201</v>
      </c>
      <c r="E96" s="99" t="s">
        <v>205</v>
      </c>
      <c r="F96" s="99">
        <v>65327</v>
      </c>
      <c r="G96" s="99" t="s">
        <v>431</v>
      </c>
      <c r="H96" s="100">
        <v>0</v>
      </c>
      <c r="I96" s="101">
        <v>0</v>
      </c>
      <c r="J96" s="102">
        <v>0</v>
      </c>
      <c r="K96" s="101">
        <v>1034.1300000000001</v>
      </c>
      <c r="L96" s="102">
        <v>0</v>
      </c>
      <c r="M96" s="101">
        <v>0</v>
      </c>
      <c r="N96" s="102">
        <v>0</v>
      </c>
      <c r="O96" s="101">
        <v>0</v>
      </c>
      <c r="P96" s="101">
        <v>1034.1300000000001</v>
      </c>
    </row>
    <row r="97" spans="1:16" ht="16.5" thickTop="1" thickBot="1" x14ac:dyDescent="0.3">
      <c r="A97" s="103" t="str">
        <f>CONCATENATE(Tableau4[[#This Row],[CODE COM]],"_",Tableau4[[#This Row],[COULEUR]],"_",Tableau4[[#This Row],[CODE FAB]],"_",Tableau4[[#This Row],[Num de Lot]])</f>
        <v>C16_GLACIER_NM15-16.01_65338</v>
      </c>
      <c r="B97" s="99" t="s">
        <v>103</v>
      </c>
      <c r="C97" s="99" t="s">
        <v>204</v>
      </c>
      <c r="D97" s="99" t="s">
        <v>201</v>
      </c>
      <c r="E97" s="99" t="s">
        <v>203</v>
      </c>
      <c r="F97" s="99">
        <v>65338</v>
      </c>
      <c r="G97" s="99" t="s">
        <v>431</v>
      </c>
      <c r="H97" s="100">
        <v>0</v>
      </c>
      <c r="I97" s="101">
        <v>0</v>
      </c>
      <c r="J97" s="102">
        <v>0</v>
      </c>
      <c r="K97" s="101">
        <v>971.66</v>
      </c>
      <c r="L97" s="102">
        <v>0</v>
      </c>
      <c r="M97" s="101">
        <v>0</v>
      </c>
      <c r="N97" s="102">
        <v>0</v>
      </c>
      <c r="O97" s="101">
        <v>0</v>
      </c>
      <c r="P97" s="101">
        <v>971.66</v>
      </c>
    </row>
    <row r="98" spans="1:16" ht="16.5" thickTop="1" thickBot="1" x14ac:dyDescent="0.3">
      <c r="A98" s="103" t="str">
        <f>CONCATENATE(Tableau4[[#This Row],[CODE COM]],"_",Tableau4[[#This Row],[COULEUR]],"_",Tableau4[[#This Row],[CODE FAB]],"_",Tableau4[[#This Row],[Num de Lot]])</f>
        <v>C16_BLEU CIEL_NM20-16.00_S2023</v>
      </c>
      <c r="B98" s="99" t="s">
        <v>82</v>
      </c>
      <c r="C98" s="99" t="s">
        <v>202</v>
      </c>
      <c r="D98" s="99" t="s">
        <v>201</v>
      </c>
      <c r="E98" s="99" t="s">
        <v>200</v>
      </c>
      <c r="F98" s="99" t="s">
        <v>69</v>
      </c>
      <c r="G98" s="99" t="s">
        <v>431</v>
      </c>
      <c r="H98" s="100">
        <v>0</v>
      </c>
      <c r="I98" s="101">
        <v>805</v>
      </c>
      <c r="J98" s="102">
        <v>0</v>
      </c>
      <c r="K98" s="101">
        <v>0</v>
      </c>
      <c r="L98" s="102">
        <v>0</v>
      </c>
      <c r="M98" s="101">
        <v>0</v>
      </c>
      <c r="N98" s="102">
        <v>0</v>
      </c>
      <c r="O98" s="101">
        <v>0</v>
      </c>
      <c r="P98" s="101">
        <v>805</v>
      </c>
    </row>
    <row r="99" spans="1:16" ht="16.5" thickTop="1" thickBot="1" x14ac:dyDescent="0.3">
      <c r="A99" s="103" t="str">
        <f>CONCATENATE(Tableau4[[#This Row],[CODE COM]],"_",Tableau4[[#This Row],[COULEUR]],"_",Tableau4[[#This Row],[CODE FAB]],"_",Tableau4[[#This Row],[Num de Lot]])</f>
        <v>C17_EMAURAUDE_NM15-17.00_61571</v>
      </c>
      <c r="B99" s="99" t="s">
        <v>103</v>
      </c>
      <c r="C99" s="99" t="s">
        <v>198</v>
      </c>
      <c r="D99" s="99" t="s">
        <v>197</v>
      </c>
      <c r="E99" s="99" t="s">
        <v>199</v>
      </c>
      <c r="F99" s="99">
        <v>61571</v>
      </c>
      <c r="G99" s="99" t="s">
        <v>431</v>
      </c>
      <c r="H99" s="100">
        <v>0</v>
      </c>
      <c r="I99" s="101">
        <v>81</v>
      </c>
      <c r="J99" s="102">
        <v>149</v>
      </c>
      <c r="K99" s="101">
        <v>521.5</v>
      </c>
      <c r="L99" s="102">
        <v>0</v>
      </c>
      <c r="M99" s="101">
        <v>0</v>
      </c>
      <c r="N99" s="102">
        <v>0</v>
      </c>
      <c r="O99" s="101">
        <v>0</v>
      </c>
      <c r="P99" s="101">
        <v>602.5</v>
      </c>
    </row>
    <row r="100" spans="1:16" ht="16.5" thickTop="1" thickBot="1" x14ac:dyDescent="0.3">
      <c r="A100" s="103" t="str">
        <f>CONCATENATE(Tableau4[[#This Row],[CODE COM]],"_",Tableau4[[#This Row],[COULEUR]],"_",Tableau4[[#This Row],[CODE FAB]],"_",Tableau4[[#This Row],[Num de Lot]])</f>
        <v>C17_EMAURAUDE_NM15-17.01_S2022</v>
      </c>
      <c r="B100" s="99" t="s">
        <v>103</v>
      </c>
      <c r="C100" s="99" t="s">
        <v>198</v>
      </c>
      <c r="D100" s="99" t="s">
        <v>197</v>
      </c>
      <c r="E100" s="99" t="s">
        <v>196</v>
      </c>
      <c r="F100" s="99" t="s">
        <v>107</v>
      </c>
      <c r="G100" s="99" t="s">
        <v>431</v>
      </c>
      <c r="H100" s="100">
        <v>0</v>
      </c>
      <c r="I100" s="101">
        <v>0</v>
      </c>
      <c r="J100" s="102">
        <v>125</v>
      </c>
      <c r="K100" s="101">
        <v>437.5</v>
      </c>
      <c r="L100" s="102">
        <v>0</v>
      </c>
      <c r="M100" s="101">
        <v>0</v>
      </c>
      <c r="N100" s="102">
        <v>0</v>
      </c>
      <c r="O100" s="101">
        <v>0</v>
      </c>
      <c r="P100" s="101">
        <v>437.5</v>
      </c>
    </row>
    <row r="101" spans="1:16" ht="28.5" thickTop="1" thickBot="1" x14ac:dyDescent="0.3">
      <c r="A101" s="103" t="str">
        <f>CONCATENATE(Tableau4[[#This Row],[CODE COM]],"_",Tableau4[[#This Row],[COULEUR]],"_",Tableau4[[#This Row],[CODE FAB]],"_",Tableau4[[#This Row],[Num de Lot]])</f>
        <v>C18_VERT D'EAU CLAIR_NM05-18.01_59842</v>
      </c>
      <c r="B101" s="99" t="s">
        <v>119</v>
      </c>
      <c r="C101" s="99" t="s">
        <v>192</v>
      </c>
      <c r="D101" s="99" t="s">
        <v>191</v>
      </c>
      <c r="E101" s="99" t="s">
        <v>195</v>
      </c>
      <c r="F101" s="99">
        <v>59842</v>
      </c>
      <c r="G101" s="99" t="s">
        <v>431</v>
      </c>
      <c r="H101" s="100">
        <v>0</v>
      </c>
      <c r="I101" s="101">
        <v>0</v>
      </c>
      <c r="J101" s="102">
        <v>0</v>
      </c>
      <c r="K101" s="101">
        <v>0</v>
      </c>
      <c r="L101" s="102">
        <v>0</v>
      </c>
      <c r="M101" s="101">
        <v>0</v>
      </c>
      <c r="N101" s="102">
        <v>43</v>
      </c>
      <c r="O101" s="101">
        <v>150.5</v>
      </c>
      <c r="P101" s="101">
        <v>150.5</v>
      </c>
    </row>
    <row r="102" spans="1:16" ht="16.5" thickTop="1" thickBot="1" x14ac:dyDescent="0.3">
      <c r="A102" s="103" t="str">
        <f>CONCATENATE(Tableau4[[#This Row],[CODE COM]],"_",Tableau4[[#This Row],[COULEUR]],"_",Tableau4[[#This Row],[CODE FAB]],"_",Tableau4[[#This Row],[Num de Lot]])</f>
        <v>C18_VERT D'EAU _NM15-18.00_61535</v>
      </c>
      <c r="B102" s="99" t="s">
        <v>103</v>
      </c>
      <c r="C102" s="99" t="s">
        <v>194</v>
      </c>
      <c r="D102" s="99" t="s">
        <v>191</v>
      </c>
      <c r="E102" s="99" t="s">
        <v>193</v>
      </c>
      <c r="F102" s="99">
        <v>61535</v>
      </c>
      <c r="G102" s="99" t="s">
        <v>431</v>
      </c>
      <c r="H102" s="100">
        <v>0</v>
      </c>
      <c r="I102" s="101">
        <v>181</v>
      </c>
      <c r="J102" s="102">
        <v>0</v>
      </c>
      <c r="K102" s="101">
        <v>0</v>
      </c>
      <c r="L102" s="102">
        <v>0</v>
      </c>
      <c r="M102" s="101">
        <v>0</v>
      </c>
      <c r="N102" s="102">
        <v>0</v>
      </c>
      <c r="O102" s="101">
        <v>0</v>
      </c>
      <c r="P102" s="101">
        <v>181</v>
      </c>
    </row>
    <row r="103" spans="1:16" ht="28.5" thickTop="1" thickBot="1" x14ac:dyDescent="0.3">
      <c r="A103" s="103" t="str">
        <f>CONCATENATE(Tableau4[[#This Row],[CODE COM]],"_",Tableau4[[#This Row],[COULEUR]],"_",Tableau4[[#This Row],[CODE FAB]],"_",Tableau4[[#This Row],[Num de Lot]])</f>
        <v>C18_VERT D'EAU CLAIR_NM15-18.01_61719</v>
      </c>
      <c r="B103" s="99" t="s">
        <v>103</v>
      </c>
      <c r="C103" s="99" t="s">
        <v>192</v>
      </c>
      <c r="D103" s="99" t="s">
        <v>191</v>
      </c>
      <c r="E103" s="99" t="s">
        <v>190</v>
      </c>
      <c r="F103" s="99">
        <v>61719</v>
      </c>
      <c r="G103" s="99" t="s">
        <v>431</v>
      </c>
      <c r="H103" s="100">
        <v>0</v>
      </c>
      <c r="I103" s="101">
        <v>0</v>
      </c>
      <c r="J103" s="102">
        <v>0</v>
      </c>
      <c r="K103" s="101">
        <v>0</v>
      </c>
      <c r="L103" s="102">
        <v>0</v>
      </c>
      <c r="M103" s="101">
        <v>0</v>
      </c>
      <c r="N103" s="102">
        <v>0</v>
      </c>
      <c r="O103" s="101">
        <v>0</v>
      </c>
      <c r="P103" s="101">
        <v>0</v>
      </c>
    </row>
    <row r="104" spans="1:16" ht="28.5" thickTop="1" thickBot="1" x14ac:dyDescent="0.3">
      <c r="A104" s="103" t="str">
        <f>CONCATENATE(Tableau4[[#This Row],[CODE COM]],"_",Tableau4[[#This Row],[COULEUR]],"_",Tableau4[[#This Row],[CODE FAB]],"_",Tableau4[[#This Row],[Num de Lot]])</f>
        <v>C18_VERT D'EAU CLAIR_NM15-18.01_65326</v>
      </c>
      <c r="B104" s="99" t="s">
        <v>103</v>
      </c>
      <c r="C104" s="99" t="s">
        <v>192</v>
      </c>
      <c r="D104" s="99" t="s">
        <v>191</v>
      </c>
      <c r="E104" s="99" t="s">
        <v>190</v>
      </c>
      <c r="F104" s="99">
        <v>65326</v>
      </c>
      <c r="G104" s="99" t="s">
        <v>431</v>
      </c>
      <c r="H104" s="100">
        <v>0</v>
      </c>
      <c r="I104" s="101">
        <v>0</v>
      </c>
      <c r="J104" s="102">
        <v>0</v>
      </c>
      <c r="K104" s="101">
        <v>2106.54</v>
      </c>
      <c r="L104" s="102">
        <v>0</v>
      </c>
      <c r="M104" s="101">
        <v>0</v>
      </c>
      <c r="N104" s="102">
        <v>0</v>
      </c>
      <c r="O104" s="101">
        <v>0</v>
      </c>
      <c r="P104" s="101">
        <v>2106.54</v>
      </c>
    </row>
    <row r="105" spans="1:16" ht="16.5" thickTop="1" thickBot="1" x14ac:dyDescent="0.3">
      <c r="A105" s="103" t="str">
        <f>CONCATENATE(Tableau4[[#This Row],[CODE COM]],"_",Tableau4[[#This Row],[COULEUR]],"_",Tableau4[[#This Row],[CODE FAB]],"_",Tableau4[[#This Row],[Num de Lot]])</f>
        <v>C19_CEDRE_NM15-19.00_61471</v>
      </c>
      <c r="B105" s="99" t="s">
        <v>103</v>
      </c>
      <c r="C105" s="99" t="s">
        <v>187</v>
      </c>
      <c r="D105" s="99" t="s">
        <v>184</v>
      </c>
      <c r="E105" s="99" t="s">
        <v>186</v>
      </c>
      <c r="F105" s="99">
        <v>61471</v>
      </c>
      <c r="G105" s="99" t="s">
        <v>431</v>
      </c>
      <c r="H105" s="100">
        <v>0</v>
      </c>
      <c r="I105" s="101">
        <v>53.5</v>
      </c>
      <c r="J105" s="102">
        <v>273</v>
      </c>
      <c r="K105" s="101">
        <v>955.5</v>
      </c>
      <c r="L105" s="102">
        <v>0</v>
      </c>
      <c r="M105" s="101">
        <v>0</v>
      </c>
      <c r="N105" s="102">
        <v>0</v>
      </c>
      <c r="O105" s="101">
        <v>0</v>
      </c>
      <c r="P105" s="101">
        <v>1009</v>
      </c>
    </row>
    <row r="106" spans="1:16" ht="16.5" thickTop="1" thickBot="1" x14ac:dyDescent="0.3">
      <c r="A106" s="103" t="str">
        <f>CONCATENATE(Tableau4[[#This Row],[CODE COM]],"_",Tableau4[[#This Row],[COULEUR]],"_",Tableau4[[#This Row],[CODE FAB]],"_",Tableau4[[#This Row],[Num de Lot]])</f>
        <v>C19_KAKI_NM15-19.01_61602</v>
      </c>
      <c r="B106" s="99" t="s">
        <v>103</v>
      </c>
      <c r="C106" s="99" t="s">
        <v>174</v>
      </c>
      <c r="D106" s="99" t="s">
        <v>184</v>
      </c>
      <c r="E106" s="99" t="s">
        <v>185</v>
      </c>
      <c r="F106" s="99">
        <v>61602</v>
      </c>
      <c r="G106" s="99" t="s">
        <v>431</v>
      </c>
      <c r="H106" s="100">
        <v>0</v>
      </c>
      <c r="I106" s="101">
        <v>157</v>
      </c>
      <c r="J106" s="102">
        <v>0</v>
      </c>
      <c r="K106" s="101">
        <v>0</v>
      </c>
      <c r="L106" s="102">
        <v>0</v>
      </c>
      <c r="M106" s="101">
        <v>0</v>
      </c>
      <c r="N106" s="102">
        <v>0</v>
      </c>
      <c r="O106" s="101">
        <v>0</v>
      </c>
      <c r="P106" s="101">
        <v>157</v>
      </c>
    </row>
    <row r="107" spans="1:16" ht="16.5" thickTop="1" thickBot="1" x14ac:dyDescent="0.3">
      <c r="A107" s="103" t="str">
        <f>CONCATENATE(Tableau4[[#This Row],[CODE COM]],"_",Tableau4[[#This Row],[COULEUR]],"_",Tableau4[[#This Row],[CODE FAB]],"_",Tableau4[[#This Row],[Num de Lot]])</f>
        <v>C19_KAKI_NM15-19.01_65325</v>
      </c>
      <c r="B107" s="99" t="s">
        <v>103</v>
      </c>
      <c r="C107" s="99" t="s">
        <v>174</v>
      </c>
      <c r="D107" s="99" t="s">
        <v>184</v>
      </c>
      <c r="E107" s="99" t="s">
        <v>185</v>
      </c>
      <c r="F107" s="99">
        <v>65325</v>
      </c>
      <c r="G107" s="99" t="s">
        <v>431</v>
      </c>
      <c r="H107" s="100">
        <v>0</v>
      </c>
      <c r="I107" s="101">
        <v>0</v>
      </c>
      <c r="J107" s="102">
        <v>0</v>
      </c>
      <c r="K107" s="101">
        <v>1053.8800000000001</v>
      </c>
      <c r="L107" s="102">
        <v>0</v>
      </c>
      <c r="M107" s="101">
        <v>0</v>
      </c>
      <c r="N107" s="102">
        <v>0</v>
      </c>
      <c r="O107" s="101">
        <v>0</v>
      </c>
      <c r="P107" s="101">
        <v>1053.8800000000001</v>
      </c>
    </row>
    <row r="108" spans="1:16" ht="16.5" thickTop="1" thickBot="1" x14ac:dyDescent="0.3">
      <c r="A108" s="103" t="str">
        <f>CONCATENATE(Tableau4[[#This Row],[CODE COM]],"_",Tableau4[[#This Row],[COULEUR]],"_",Tableau4[[#This Row],[CODE FAB]],"_",Tableau4[[#This Row],[Num de Lot]])</f>
        <v>C19_KAKI CLAIRE_NM15.19.02_S2022</v>
      </c>
      <c r="B108" s="99" t="s">
        <v>103</v>
      </c>
      <c r="C108" s="99" t="s">
        <v>189</v>
      </c>
      <c r="D108" s="99" t="s">
        <v>184</v>
      </c>
      <c r="E108" s="99" t="s">
        <v>188</v>
      </c>
      <c r="F108" s="99" t="s">
        <v>107</v>
      </c>
      <c r="G108" s="99" t="s">
        <v>431</v>
      </c>
      <c r="H108" s="100">
        <v>0</v>
      </c>
      <c r="I108" s="101">
        <v>0</v>
      </c>
      <c r="J108" s="102">
        <v>3</v>
      </c>
      <c r="K108" s="101">
        <v>10.5</v>
      </c>
      <c r="L108" s="102">
        <v>0</v>
      </c>
      <c r="M108" s="101">
        <v>0</v>
      </c>
      <c r="N108" s="102">
        <v>244</v>
      </c>
      <c r="O108" s="101">
        <v>854</v>
      </c>
      <c r="P108" s="101">
        <v>864.5</v>
      </c>
    </row>
    <row r="109" spans="1:16" ht="16.5" thickTop="1" thickBot="1" x14ac:dyDescent="0.3">
      <c r="A109" s="103" t="str">
        <f>CONCATENATE(Tableau4[[#This Row],[CODE COM]],"_",Tableau4[[#This Row],[COULEUR]],"_",Tableau4[[#This Row],[CODE FAB]],"_",Tableau4[[#This Row],[Num de Lot]])</f>
        <v>C19_KAKI_NM34-19.01_S2024</v>
      </c>
      <c r="B109" s="99" t="s">
        <v>179</v>
      </c>
      <c r="C109" s="99" t="s">
        <v>174</v>
      </c>
      <c r="D109" s="99" t="s">
        <v>184</v>
      </c>
      <c r="E109" s="99" t="s">
        <v>183</v>
      </c>
      <c r="F109" s="99" t="s">
        <v>175</v>
      </c>
      <c r="G109" s="99" t="s">
        <v>431</v>
      </c>
      <c r="H109" s="100">
        <v>0</v>
      </c>
      <c r="I109" s="101">
        <v>53</v>
      </c>
      <c r="J109" s="102">
        <v>0</v>
      </c>
      <c r="K109" s="101">
        <v>0</v>
      </c>
      <c r="L109" s="102">
        <v>0</v>
      </c>
      <c r="M109" s="101">
        <v>0</v>
      </c>
      <c r="N109" s="102">
        <v>0</v>
      </c>
      <c r="O109" s="101">
        <v>0</v>
      </c>
      <c r="P109" s="101">
        <v>53</v>
      </c>
    </row>
    <row r="110" spans="1:16" ht="16.5" thickTop="1" thickBot="1" x14ac:dyDescent="0.3">
      <c r="A110" s="103" t="str">
        <f>CONCATENATE(Tableau4[[#This Row],[CODE COM]],"_",Tableau4[[#This Row],[COULEUR]],"_",Tableau4[[#This Row],[CODE FAB]],"_",Tableau4[[#This Row],[Num de Lot]])</f>
        <v>C20_VERT OLIVE_NM05-20.02_S2023</v>
      </c>
      <c r="B110" s="99" t="s">
        <v>119</v>
      </c>
      <c r="C110" s="99" t="s">
        <v>178</v>
      </c>
      <c r="D110" s="99" t="s">
        <v>177</v>
      </c>
      <c r="E110" s="99" t="s">
        <v>182</v>
      </c>
      <c r="F110" s="99" t="s">
        <v>69</v>
      </c>
      <c r="G110" s="99" t="s">
        <v>431</v>
      </c>
      <c r="H110" s="100">
        <v>0</v>
      </c>
      <c r="I110" s="101">
        <v>0</v>
      </c>
      <c r="J110" s="104">
        <v>0</v>
      </c>
      <c r="K110" s="101">
        <v>0</v>
      </c>
      <c r="L110" s="102">
        <v>70</v>
      </c>
      <c r="M110" s="101">
        <v>245</v>
      </c>
      <c r="N110" s="102">
        <v>0</v>
      </c>
      <c r="O110" s="101">
        <v>0</v>
      </c>
      <c r="P110" s="101">
        <v>245</v>
      </c>
    </row>
    <row r="111" spans="1:16" ht="16.5" thickTop="1" thickBot="1" x14ac:dyDescent="0.3">
      <c r="A111" s="103" t="str">
        <f>CONCATENATE(Tableau4[[#This Row],[CODE COM]],"_",Tableau4[[#This Row],[COULEUR]],"_",Tableau4[[#This Row],[CODE FAB]],"_",Tableau4[[#This Row],[Num de Lot]])</f>
        <v>C20_VERT OLIVE_NM15-20.01_61652</v>
      </c>
      <c r="B111" s="99" t="s">
        <v>103</v>
      </c>
      <c r="C111" s="99" t="s">
        <v>178</v>
      </c>
      <c r="D111" s="99" t="s">
        <v>177</v>
      </c>
      <c r="E111" s="99" t="s">
        <v>180</v>
      </c>
      <c r="F111" s="99">
        <v>61652</v>
      </c>
      <c r="G111" s="99" t="s">
        <v>431</v>
      </c>
      <c r="H111" s="100">
        <v>0</v>
      </c>
      <c r="I111" s="101">
        <v>32.5</v>
      </c>
      <c r="J111" s="102">
        <v>0</v>
      </c>
      <c r="K111" s="101">
        <v>0</v>
      </c>
      <c r="L111" s="102">
        <v>0</v>
      </c>
      <c r="M111" s="101">
        <v>0</v>
      </c>
      <c r="N111" s="102">
        <v>0</v>
      </c>
      <c r="O111" s="101">
        <v>0</v>
      </c>
      <c r="P111" s="101">
        <v>32.5</v>
      </c>
    </row>
    <row r="112" spans="1:16" ht="16.5" thickTop="1" thickBot="1" x14ac:dyDescent="0.3">
      <c r="A112" s="103" t="str">
        <f>CONCATENATE(Tableau4[[#This Row],[CODE COM]],"_",Tableau4[[#This Row],[COULEUR]],"_",Tableau4[[#This Row],[CODE FAB]],"_",Tableau4[[#This Row],[Num de Lot]])</f>
        <v>C20_VERT OLIVE_NM15-20.01_65357</v>
      </c>
      <c r="B112" s="99" t="s">
        <v>103</v>
      </c>
      <c r="C112" s="99" t="s">
        <v>178</v>
      </c>
      <c r="D112" s="99" t="s">
        <v>177</v>
      </c>
      <c r="E112" s="99" t="s">
        <v>180</v>
      </c>
      <c r="F112" s="99">
        <v>65357</v>
      </c>
      <c r="G112" s="99" t="s">
        <v>431</v>
      </c>
      <c r="H112" s="100">
        <v>0</v>
      </c>
      <c r="I112" s="101">
        <v>0</v>
      </c>
      <c r="J112" s="102">
        <v>0</v>
      </c>
      <c r="K112" s="101">
        <v>2103.79</v>
      </c>
      <c r="L112" s="102">
        <v>0</v>
      </c>
      <c r="M112" s="101">
        <v>0</v>
      </c>
      <c r="N112" s="102">
        <v>0</v>
      </c>
      <c r="O112" s="101">
        <v>0</v>
      </c>
      <c r="P112" s="101">
        <v>2103.79</v>
      </c>
    </row>
    <row r="113" spans="1:16" ht="16.5" thickTop="1" thickBot="1" x14ac:dyDescent="0.3">
      <c r="A113" s="103" t="str">
        <f>CONCATENATE(Tableau4[[#This Row],[CODE COM]],"_",Tableau4[[#This Row],[COULEUR]],"_",Tableau4[[#This Row],[CODE FAB]],"_",Tableau4[[#This Row],[Num de Lot]])</f>
        <v>C20_VERT OLIVE_NM15-20.00_65358</v>
      </c>
      <c r="B113" s="99" t="s">
        <v>103</v>
      </c>
      <c r="C113" s="99" t="s">
        <v>178</v>
      </c>
      <c r="D113" s="99" t="s">
        <v>177</v>
      </c>
      <c r="E113" s="99" t="s">
        <v>181</v>
      </c>
      <c r="F113" s="99">
        <v>65358</v>
      </c>
      <c r="G113" s="99" t="s">
        <v>431</v>
      </c>
      <c r="H113" s="100">
        <v>0</v>
      </c>
      <c r="I113" s="101">
        <v>0</v>
      </c>
      <c r="J113" s="102">
        <v>0</v>
      </c>
      <c r="K113" s="101">
        <v>2087.38</v>
      </c>
      <c r="L113" s="102">
        <v>0</v>
      </c>
      <c r="M113" s="101">
        <v>0</v>
      </c>
      <c r="N113" s="102">
        <v>0</v>
      </c>
      <c r="O113" s="101">
        <v>0</v>
      </c>
      <c r="P113" s="101">
        <v>2087.38</v>
      </c>
    </row>
    <row r="114" spans="1:16" ht="16.5" thickTop="1" thickBot="1" x14ac:dyDescent="0.3">
      <c r="A114" s="103" t="str">
        <f>CONCATENATE(Tableau4[[#This Row],[CODE COM]],"_",Tableau4[[#This Row],[COULEUR]],"_",Tableau4[[#This Row],[CODE FAB]],"_",Tableau4[[#This Row],[Num de Lot]])</f>
        <v>C20_VERT OLIVE_NM15-20.00_S2023</v>
      </c>
      <c r="B114" s="99" t="s">
        <v>103</v>
      </c>
      <c r="C114" s="99" t="s">
        <v>178</v>
      </c>
      <c r="D114" s="99" t="s">
        <v>177</v>
      </c>
      <c r="E114" s="99" t="s">
        <v>181</v>
      </c>
      <c r="F114" s="99" t="s">
        <v>69</v>
      </c>
      <c r="G114" s="99" t="s">
        <v>431</v>
      </c>
      <c r="H114" s="100">
        <v>0</v>
      </c>
      <c r="I114" s="101">
        <v>19.399999999999999</v>
      </c>
      <c r="J114" s="102">
        <v>0</v>
      </c>
      <c r="K114" s="101">
        <v>0</v>
      </c>
      <c r="L114" s="102">
        <v>0</v>
      </c>
      <c r="M114" s="101">
        <v>0</v>
      </c>
      <c r="N114" s="102">
        <v>0</v>
      </c>
      <c r="O114" s="101">
        <v>0</v>
      </c>
      <c r="P114" s="101">
        <v>19.399999999999999</v>
      </c>
    </row>
    <row r="115" spans="1:16" ht="16.5" thickTop="1" thickBot="1" x14ac:dyDescent="0.3">
      <c r="A115" s="103" t="str">
        <f>CONCATENATE(Tableau4[[#This Row],[CODE COM]],"_",Tableau4[[#This Row],[COULEUR]],"_",Tableau4[[#This Row],[CODE FAB]],"_",Tableau4[[#This Row],[Num de Lot]])</f>
        <v>C20_VERT OLIVE_NM34-20.01_S2024</v>
      </c>
      <c r="B115" s="99" t="s">
        <v>179</v>
      </c>
      <c r="C115" s="99" t="s">
        <v>178</v>
      </c>
      <c r="D115" s="99" t="s">
        <v>177</v>
      </c>
      <c r="E115" s="99" t="s">
        <v>176</v>
      </c>
      <c r="F115" s="99" t="s">
        <v>175</v>
      </c>
      <c r="G115" s="99" t="s">
        <v>431</v>
      </c>
      <c r="H115" s="100">
        <v>0</v>
      </c>
      <c r="I115" s="101">
        <v>37</v>
      </c>
      <c r="J115" s="102">
        <v>0</v>
      </c>
      <c r="K115" s="101">
        <v>0</v>
      </c>
      <c r="L115" s="102">
        <v>0</v>
      </c>
      <c r="M115" s="101">
        <v>0</v>
      </c>
      <c r="N115" s="102">
        <v>0</v>
      </c>
      <c r="O115" s="101">
        <v>0</v>
      </c>
      <c r="P115" s="101">
        <v>37</v>
      </c>
    </row>
    <row r="116" spans="1:16" ht="16.5" thickTop="1" thickBot="1" x14ac:dyDescent="0.3">
      <c r="A116" s="103" t="str">
        <f>CONCATENATE(Tableau4[[#This Row],[CODE COM]],"_",Tableau4[[#This Row],[COULEUR]],"_",Tableau4[[#This Row],[CODE FAB]],"_",Tableau4[[#This Row],[Num de Lot]])</f>
        <v>C21_KAKI_NM10-21.01_53987</v>
      </c>
      <c r="B116" s="99" t="s">
        <v>116</v>
      </c>
      <c r="C116" s="99" t="s">
        <v>174</v>
      </c>
      <c r="D116" s="99" t="s">
        <v>169</v>
      </c>
      <c r="E116" s="99" t="s">
        <v>173</v>
      </c>
      <c r="F116" s="99">
        <v>53987</v>
      </c>
      <c r="G116" s="99" t="s">
        <v>431</v>
      </c>
      <c r="H116" s="100">
        <v>0</v>
      </c>
      <c r="I116" s="101">
        <v>0</v>
      </c>
      <c r="J116" s="102">
        <v>0</v>
      </c>
      <c r="K116" s="101">
        <v>0</v>
      </c>
      <c r="L116" s="102">
        <v>0</v>
      </c>
      <c r="M116" s="101">
        <v>0</v>
      </c>
      <c r="N116" s="102">
        <v>121</v>
      </c>
      <c r="O116" s="101">
        <v>423.5</v>
      </c>
      <c r="P116" s="101">
        <v>423.5</v>
      </c>
    </row>
    <row r="117" spans="1:16" ht="28.5" thickTop="1" thickBot="1" x14ac:dyDescent="0.3">
      <c r="A117" s="103" t="str">
        <f>CONCATENATE(Tableau4[[#This Row],[CODE COM]],"_",Tableau4[[#This Row],[COULEUR]],"_",Tableau4[[#This Row],[CODE FAB]],"_",Tableau4[[#This Row],[Num de Lot]])</f>
        <v>C21_VERT PISTACHE_NM15-21.00_61669</v>
      </c>
      <c r="B117" s="99" t="s">
        <v>103</v>
      </c>
      <c r="C117" s="99" t="s">
        <v>170</v>
      </c>
      <c r="D117" s="99" t="s">
        <v>169</v>
      </c>
      <c r="E117" s="99" t="s">
        <v>172</v>
      </c>
      <c r="F117" s="99">
        <v>61669</v>
      </c>
      <c r="G117" s="99" t="s">
        <v>431</v>
      </c>
      <c r="H117" s="100">
        <v>0</v>
      </c>
      <c r="I117" s="101">
        <v>329.7</v>
      </c>
      <c r="J117" s="102">
        <v>86</v>
      </c>
      <c r="K117" s="101">
        <v>301</v>
      </c>
      <c r="L117" s="102">
        <v>0</v>
      </c>
      <c r="M117" s="101">
        <v>0</v>
      </c>
      <c r="N117" s="102">
        <v>0</v>
      </c>
      <c r="O117" s="101">
        <v>0</v>
      </c>
      <c r="P117" s="101">
        <v>630.70000000000005</v>
      </c>
    </row>
    <row r="118" spans="1:16" ht="28.5" thickTop="1" thickBot="1" x14ac:dyDescent="0.3">
      <c r="A118" s="103" t="str">
        <f>CONCATENATE(Tableau4[[#This Row],[CODE COM]],"_",Tableau4[[#This Row],[COULEUR]],"_",Tableau4[[#This Row],[CODE FAB]],"_",Tableau4[[#This Row],[Num de Lot]])</f>
        <v>C21_VERT PISTACHE_NM15-21.02_S2022</v>
      </c>
      <c r="B118" s="99" t="s">
        <v>103</v>
      </c>
      <c r="C118" s="99" t="s">
        <v>170</v>
      </c>
      <c r="D118" s="99" t="s">
        <v>169</v>
      </c>
      <c r="E118" s="99" t="s">
        <v>168</v>
      </c>
      <c r="F118" s="99" t="s">
        <v>107</v>
      </c>
      <c r="G118" s="99" t="s">
        <v>431</v>
      </c>
      <c r="H118" s="100">
        <v>0</v>
      </c>
      <c r="I118" s="101">
        <v>0</v>
      </c>
      <c r="J118" s="102">
        <v>506</v>
      </c>
      <c r="K118" s="101">
        <v>1771</v>
      </c>
      <c r="L118" s="102">
        <v>0</v>
      </c>
      <c r="M118" s="101">
        <v>0</v>
      </c>
      <c r="N118" s="102">
        <v>0</v>
      </c>
      <c r="O118" s="101">
        <v>0</v>
      </c>
      <c r="P118" s="101">
        <v>1771</v>
      </c>
    </row>
    <row r="119" spans="1:16" ht="28.5" thickTop="1" thickBot="1" x14ac:dyDescent="0.3">
      <c r="A119" s="103" t="str">
        <f>CONCATENATE(Tableau4[[#This Row],[CODE COM]],"_",Tableau4[[#This Row],[COULEUR]],"_",Tableau4[[#This Row],[CODE FAB]],"_",Tableau4[[#This Row],[Num de Lot]])</f>
        <v>C21_VERT PISTACHE_NM15-21.01_S2023</v>
      </c>
      <c r="B119" s="99" t="s">
        <v>103</v>
      </c>
      <c r="C119" s="99" t="s">
        <v>170</v>
      </c>
      <c r="D119" s="99" t="s">
        <v>169</v>
      </c>
      <c r="E119" s="99" t="s">
        <v>171</v>
      </c>
      <c r="F119" s="99" t="s">
        <v>69</v>
      </c>
      <c r="G119" s="99" t="s">
        <v>431</v>
      </c>
      <c r="H119" s="100">
        <v>0</v>
      </c>
      <c r="I119" s="101">
        <v>229.5</v>
      </c>
      <c r="J119" s="102">
        <v>171</v>
      </c>
      <c r="K119" s="101">
        <v>598.5</v>
      </c>
      <c r="L119" s="102">
        <v>0</v>
      </c>
      <c r="M119" s="101">
        <v>0</v>
      </c>
      <c r="N119" s="102">
        <v>0</v>
      </c>
      <c r="O119" s="101">
        <v>0</v>
      </c>
      <c r="P119" s="101">
        <v>828</v>
      </c>
    </row>
    <row r="120" spans="1:16" ht="16.5" thickTop="1" thickBot="1" x14ac:dyDescent="0.3">
      <c r="A120" s="103" t="str">
        <f>CONCATENATE(Tableau4[[#This Row],[CODE COM]],"_",Tableau4[[#This Row],[COULEUR]],"_",Tableau4[[#This Row],[CODE FAB]],"_",Tableau4[[#This Row],[Num de Lot]])</f>
        <v>C22_JAUNE FLUO_NM15-22.00_61540</v>
      </c>
      <c r="B120" s="99" t="s">
        <v>103</v>
      </c>
      <c r="C120" s="99" t="s">
        <v>167</v>
      </c>
      <c r="D120" s="99" t="s">
        <v>163</v>
      </c>
      <c r="E120" s="99" t="s">
        <v>166</v>
      </c>
      <c r="F120" s="99">
        <v>61540</v>
      </c>
      <c r="G120" s="99" t="s">
        <v>431</v>
      </c>
      <c r="H120" s="100">
        <v>0</v>
      </c>
      <c r="I120" s="101">
        <v>211.2</v>
      </c>
      <c r="J120" s="102">
        <v>467</v>
      </c>
      <c r="K120" s="101">
        <v>1634.5</v>
      </c>
      <c r="L120" s="102">
        <v>0</v>
      </c>
      <c r="M120" s="101">
        <v>0</v>
      </c>
      <c r="N120" s="102">
        <v>0</v>
      </c>
      <c r="O120" s="101">
        <v>0</v>
      </c>
      <c r="P120" s="101">
        <v>1845.7</v>
      </c>
    </row>
    <row r="121" spans="1:16" ht="16.5" thickTop="1" thickBot="1" x14ac:dyDescent="0.3">
      <c r="A121" s="103" t="str">
        <f>CONCATENATE(Tableau4[[#This Row],[CODE COM]],"_",Tableau4[[#This Row],[COULEUR]],"_",Tableau4[[#This Row],[CODE FAB]],"_",Tableau4[[#This Row],[Num de Lot]])</f>
        <v>C22_JAUNE CITRON_NM15-22.01_S2023</v>
      </c>
      <c r="B121" s="99" t="s">
        <v>103</v>
      </c>
      <c r="C121" s="99" t="s">
        <v>164</v>
      </c>
      <c r="D121" s="99" t="s">
        <v>163</v>
      </c>
      <c r="E121" s="99" t="s">
        <v>165</v>
      </c>
      <c r="F121" s="99" t="s">
        <v>69</v>
      </c>
      <c r="G121" s="99" t="s">
        <v>431</v>
      </c>
      <c r="H121" s="100">
        <v>0</v>
      </c>
      <c r="I121" s="101">
        <v>346.5</v>
      </c>
      <c r="J121" s="102">
        <v>284</v>
      </c>
      <c r="K121" s="101">
        <v>994</v>
      </c>
      <c r="L121" s="102">
        <v>0</v>
      </c>
      <c r="M121" s="101">
        <v>0</v>
      </c>
      <c r="N121" s="102">
        <v>0</v>
      </c>
      <c r="O121" s="101">
        <v>0</v>
      </c>
      <c r="P121" s="101">
        <v>1340.5</v>
      </c>
    </row>
    <row r="122" spans="1:16" ht="16.5" thickTop="1" thickBot="1" x14ac:dyDescent="0.3">
      <c r="A122" s="103" t="str">
        <f>CONCATENATE(Tableau4[[#This Row],[CODE COM]],"_",Tableau4[[#This Row],[COULEUR]],"_",Tableau4[[#This Row],[CODE FAB]],"_",Tableau4[[#This Row],[Num de Lot]])</f>
        <v>C23_OR_NM15-23.00_61566</v>
      </c>
      <c r="B122" s="99" t="s">
        <v>103</v>
      </c>
      <c r="C122" s="99" t="s">
        <v>161</v>
      </c>
      <c r="D122" s="99" t="s">
        <v>158</v>
      </c>
      <c r="E122" s="99" t="s">
        <v>160</v>
      </c>
      <c r="F122" s="99">
        <v>61566</v>
      </c>
      <c r="G122" s="99" t="s">
        <v>431</v>
      </c>
      <c r="H122" s="100">
        <v>0</v>
      </c>
      <c r="I122" s="101">
        <v>243</v>
      </c>
      <c r="J122" s="102">
        <v>351</v>
      </c>
      <c r="K122" s="101">
        <v>1228.5</v>
      </c>
      <c r="L122" s="102">
        <v>0</v>
      </c>
      <c r="M122" s="101">
        <v>0</v>
      </c>
      <c r="N122" s="102">
        <v>0</v>
      </c>
      <c r="O122" s="101">
        <v>0</v>
      </c>
      <c r="P122" s="101">
        <v>1471.5</v>
      </c>
    </row>
    <row r="123" spans="1:16" ht="16.5" thickTop="1" thickBot="1" x14ac:dyDescent="0.3">
      <c r="A123" s="103" t="str">
        <f>CONCATENATE(Tableau4[[#This Row],[CODE COM]],"_",Tableau4[[#This Row],[COULEUR]],"_",Tableau4[[#This Row],[CODE FAB]],"_",Tableau4[[#This Row],[Num de Lot]])</f>
        <v>C24_JAUNE SAFRAN_NM15-24.00_61554</v>
      </c>
      <c r="B123" s="99" t="s">
        <v>103</v>
      </c>
      <c r="C123" s="99" t="s">
        <v>155</v>
      </c>
      <c r="D123" s="99" t="s">
        <v>154</v>
      </c>
      <c r="E123" s="99" t="s">
        <v>156</v>
      </c>
      <c r="F123" s="99">
        <v>61554</v>
      </c>
      <c r="G123" s="99" t="s">
        <v>431</v>
      </c>
      <c r="H123" s="100">
        <v>0</v>
      </c>
      <c r="I123" s="101">
        <v>356</v>
      </c>
      <c r="J123" s="102">
        <v>0</v>
      </c>
      <c r="K123" s="101">
        <v>0</v>
      </c>
      <c r="L123" s="102">
        <v>0</v>
      </c>
      <c r="M123" s="101">
        <v>0</v>
      </c>
      <c r="N123" s="102">
        <v>333</v>
      </c>
      <c r="O123" s="101">
        <v>917</v>
      </c>
      <c r="P123" s="101">
        <v>1273</v>
      </c>
    </row>
    <row r="124" spans="1:16" ht="16.5" thickTop="1" thickBot="1" x14ac:dyDescent="0.3">
      <c r="A124" s="103" t="str">
        <f>CONCATENATE(Tableau4[[#This Row],[CODE COM]],"_",Tableau4[[#This Row],[COULEUR]],"_",Tableau4[[#This Row],[CODE FAB]],"_",Tableau4[[#This Row],[Num de Lot]])</f>
        <v>C24_JAUNE SAFRAN_NM15-24.01_S2023</v>
      </c>
      <c r="B124" s="99" t="s">
        <v>103</v>
      </c>
      <c r="C124" s="99" t="s">
        <v>155</v>
      </c>
      <c r="D124" s="99" t="s">
        <v>154</v>
      </c>
      <c r="E124" s="99" t="s">
        <v>153</v>
      </c>
      <c r="F124" s="99" t="s">
        <v>69</v>
      </c>
      <c r="G124" s="99" t="s">
        <v>431</v>
      </c>
      <c r="H124" s="100">
        <v>0</v>
      </c>
      <c r="I124" s="101">
        <v>0</v>
      </c>
      <c r="J124" s="102">
        <v>0</v>
      </c>
      <c r="K124" s="101">
        <v>0</v>
      </c>
      <c r="L124" s="102">
        <v>0</v>
      </c>
      <c r="M124" s="101">
        <v>0</v>
      </c>
      <c r="N124" s="102">
        <v>0</v>
      </c>
      <c r="O124" s="101">
        <v>0</v>
      </c>
      <c r="P124" s="101">
        <v>0</v>
      </c>
    </row>
    <row r="125" spans="1:16" ht="16.5" thickTop="1" thickBot="1" x14ac:dyDescent="0.3">
      <c r="A125" s="103" t="str">
        <f>CONCATENATE(Tableau4[[#This Row],[CODE COM]],"_",Tableau4[[#This Row],[COULEUR]],"_",Tableau4[[#This Row],[CODE FAB]],"_",Tableau4[[#This Row],[Num de Lot]])</f>
        <v>C25_ORANGE_NM15-25.00_61729</v>
      </c>
      <c r="B125" s="99" t="s">
        <v>103</v>
      </c>
      <c r="C125" s="99" t="s">
        <v>150</v>
      </c>
      <c r="D125" s="99" t="s">
        <v>149</v>
      </c>
      <c r="E125" s="99" t="s">
        <v>152</v>
      </c>
      <c r="F125" s="99">
        <v>61729</v>
      </c>
      <c r="G125" s="99" t="s">
        <v>431</v>
      </c>
      <c r="H125" s="100">
        <v>0</v>
      </c>
      <c r="I125" s="101">
        <v>142</v>
      </c>
      <c r="J125" s="102">
        <v>88</v>
      </c>
      <c r="K125" s="101">
        <v>308</v>
      </c>
      <c r="L125" s="102">
        <v>0</v>
      </c>
      <c r="M125" s="101">
        <v>0</v>
      </c>
      <c r="N125" s="102">
        <v>0</v>
      </c>
      <c r="O125" s="101">
        <v>0</v>
      </c>
      <c r="P125" s="101">
        <v>450</v>
      </c>
    </row>
    <row r="126" spans="1:16" ht="16.5" thickTop="1" thickBot="1" x14ac:dyDescent="0.3">
      <c r="A126" s="103" t="str">
        <f>CONCATENATE(Tableau4[[#This Row],[CODE COM]],"_",Tableau4[[#This Row],[COULEUR]],"_",Tableau4[[#This Row],[CODE FAB]],"_",Tableau4[[#This Row],[Num de Lot]])</f>
        <v>C25_ORANGE_NM15-25.00_64414</v>
      </c>
      <c r="B126" s="99" t="s">
        <v>103</v>
      </c>
      <c r="C126" s="99" t="s">
        <v>150</v>
      </c>
      <c r="D126" s="99" t="s">
        <v>149</v>
      </c>
      <c r="E126" s="99" t="s">
        <v>152</v>
      </c>
      <c r="F126" s="99">
        <v>64414</v>
      </c>
      <c r="G126" s="99" t="s">
        <v>431</v>
      </c>
      <c r="H126" s="100">
        <v>0</v>
      </c>
      <c r="I126" s="101">
        <v>0</v>
      </c>
      <c r="J126" s="102">
        <v>0</v>
      </c>
      <c r="K126" s="101">
        <v>143.47</v>
      </c>
      <c r="L126" s="102">
        <v>0</v>
      </c>
      <c r="M126" s="101">
        <v>0</v>
      </c>
      <c r="N126" s="102">
        <v>0</v>
      </c>
      <c r="O126" s="101">
        <v>0</v>
      </c>
      <c r="P126" s="101">
        <v>143.47</v>
      </c>
    </row>
    <row r="127" spans="1:16" ht="16.5" thickTop="1" thickBot="1" x14ac:dyDescent="0.3">
      <c r="A127" s="103" t="str">
        <f>CONCATENATE(Tableau4[[#This Row],[CODE COM]],"_",Tableau4[[#This Row],[COULEUR]],"_",Tableau4[[#This Row],[CODE FAB]],"_",Tableau4[[#This Row],[Num de Lot]])</f>
        <v>C25_ORANGE_NM15-25.00_65414</v>
      </c>
      <c r="B127" s="99" t="s">
        <v>103</v>
      </c>
      <c r="C127" s="99" t="s">
        <v>150</v>
      </c>
      <c r="D127" s="99" t="s">
        <v>149</v>
      </c>
      <c r="E127" s="99" t="s">
        <v>152</v>
      </c>
      <c r="F127" s="99">
        <v>65414</v>
      </c>
      <c r="G127" s="99" t="s">
        <v>431</v>
      </c>
      <c r="H127" s="100">
        <v>0</v>
      </c>
      <c r="I127" s="101">
        <v>0</v>
      </c>
      <c r="J127" s="102">
        <v>0</v>
      </c>
      <c r="K127" s="101">
        <v>924.16</v>
      </c>
      <c r="L127" s="102">
        <v>0</v>
      </c>
      <c r="M127" s="101">
        <v>0</v>
      </c>
      <c r="N127" s="102">
        <v>0</v>
      </c>
      <c r="O127" s="101">
        <v>0</v>
      </c>
      <c r="P127" s="101">
        <v>924.16</v>
      </c>
    </row>
    <row r="128" spans="1:16" ht="16.5" thickTop="1" thickBot="1" x14ac:dyDescent="0.3">
      <c r="A128" s="103" t="str">
        <f>CONCATENATE(Tableau4[[#This Row],[CODE COM]],"_",Tableau4[[#This Row],[COULEUR]],"_",Tableau4[[#This Row],[CODE FAB]],"_",Tableau4[[#This Row],[Num de Lot]])</f>
        <v>C25_ORANGE_NM15-25.01_S2023</v>
      </c>
      <c r="B128" s="99" t="s">
        <v>103</v>
      </c>
      <c r="C128" s="99" t="s">
        <v>150</v>
      </c>
      <c r="D128" s="99" t="s">
        <v>149</v>
      </c>
      <c r="E128" s="99" t="s">
        <v>151</v>
      </c>
      <c r="F128" s="99" t="s">
        <v>69</v>
      </c>
      <c r="G128" s="99" t="s">
        <v>431</v>
      </c>
      <c r="H128" s="100">
        <v>0</v>
      </c>
      <c r="I128" s="101">
        <v>0</v>
      </c>
      <c r="J128" s="102">
        <v>143</v>
      </c>
      <c r="K128" s="101">
        <v>500.5</v>
      </c>
      <c r="L128" s="102">
        <v>0</v>
      </c>
      <c r="M128" s="101">
        <v>0</v>
      </c>
      <c r="N128" s="102">
        <v>0</v>
      </c>
      <c r="O128" s="101">
        <v>0</v>
      </c>
      <c r="P128" s="101">
        <v>500.5</v>
      </c>
    </row>
    <row r="129" spans="1:16" ht="16.5" thickTop="1" thickBot="1" x14ac:dyDescent="0.3">
      <c r="A129" s="103" t="str">
        <f>CONCATENATE(Tableau4[[#This Row],[CODE COM]],"_",Tableau4[[#This Row],[COULEUR]],"_",Tableau4[[#This Row],[CODE FAB]],"_",Tableau4[[#This Row],[Num de Lot]])</f>
        <v>C25_ORANGE_NM20-25.01_S2023</v>
      </c>
      <c r="B129" s="99" t="s">
        <v>82</v>
      </c>
      <c r="C129" s="99" t="s">
        <v>150</v>
      </c>
      <c r="D129" s="99" t="s">
        <v>149</v>
      </c>
      <c r="E129" s="99" t="s">
        <v>148</v>
      </c>
      <c r="F129" s="99" t="s">
        <v>69</v>
      </c>
      <c r="G129" s="99" t="s">
        <v>431</v>
      </c>
      <c r="H129" s="100">
        <v>0</v>
      </c>
      <c r="I129" s="101">
        <v>28</v>
      </c>
      <c r="J129" s="102">
        <v>0</v>
      </c>
      <c r="K129" s="101">
        <v>0</v>
      </c>
      <c r="L129" s="102">
        <v>0</v>
      </c>
      <c r="M129" s="101">
        <v>0</v>
      </c>
      <c r="N129" s="102">
        <v>0</v>
      </c>
      <c r="O129" s="101">
        <v>0</v>
      </c>
      <c r="P129" s="101">
        <v>28</v>
      </c>
    </row>
    <row r="130" spans="1:16" ht="28.5" thickTop="1" thickBot="1" x14ac:dyDescent="0.3">
      <c r="A130" s="103" t="str">
        <f>CONCATENATE(Tableau4[[#This Row],[CODE COM]],"_",Tableau4[[#This Row],[COULEUR]],"_",Tableau4[[#This Row],[CODE FAB]],"_",Tableau4[[#This Row],[Num de Lot]])</f>
        <v>C26_ROUGE FERRARI_NM05-26.00_49914</v>
      </c>
      <c r="B130" s="99" t="s">
        <v>119</v>
      </c>
      <c r="C130" s="99" t="s">
        <v>146</v>
      </c>
      <c r="D130" s="99" t="s">
        <v>145</v>
      </c>
      <c r="E130" s="99" t="s">
        <v>147</v>
      </c>
      <c r="F130" s="99">
        <v>49914</v>
      </c>
      <c r="G130" s="99" t="s">
        <v>431</v>
      </c>
      <c r="H130" s="100">
        <v>0</v>
      </c>
      <c r="I130" s="101">
        <v>7.5</v>
      </c>
      <c r="J130" s="102">
        <v>0</v>
      </c>
      <c r="K130" s="101">
        <v>0</v>
      </c>
      <c r="L130" s="102">
        <v>31</v>
      </c>
      <c r="M130" s="101">
        <v>108.5</v>
      </c>
      <c r="N130" s="102">
        <v>0</v>
      </c>
      <c r="O130" s="101">
        <v>0</v>
      </c>
      <c r="P130" s="101">
        <v>116</v>
      </c>
    </row>
    <row r="131" spans="1:16" ht="28.5" thickTop="1" thickBot="1" x14ac:dyDescent="0.3">
      <c r="A131" s="103" t="str">
        <f>CONCATENATE(Tableau4[[#This Row],[CODE COM]],"_",Tableau4[[#This Row],[COULEUR]],"_",Tableau4[[#This Row],[CODE FAB]],"_",Tableau4[[#This Row],[Num de Lot]])</f>
        <v>C26_ROUGE FERRARI_NM15-26.00_61551</v>
      </c>
      <c r="B131" s="99" t="s">
        <v>103</v>
      </c>
      <c r="C131" s="99" t="s">
        <v>146</v>
      </c>
      <c r="D131" s="99" t="s">
        <v>145</v>
      </c>
      <c r="E131" s="99" t="s">
        <v>144</v>
      </c>
      <c r="F131" s="99">
        <v>61551</v>
      </c>
      <c r="G131" s="99" t="s">
        <v>431</v>
      </c>
      <c r="H131" s="100">
        <v>0</v>
      </c>
      <c r="I131" s="101">
        <v>102</v>
      </c>
      <c r="J131" s="102">
        <v>57</v>
      </c>
      <c r="K131" s="101">
        <v>199.5</v>
      </c>
      <c r="L131" s="102">
        <v>0</v>
      </c>
      <c r="M131" s="101">
        <v>0</v>
      </c>
      <c r="N131" s="102">
        <v>0</v>
      </c>
      <c r="O131" s="101">
        <v>0</v>
      </c>
      <c r="P131" s="101">
        <v>301.5</v>
      </c>
    </row>
    <row r="132" spans="1:16" ht="28.5" thickTop="1" thickBot="1" x14ac:dyDescent="0.3">
      <c r="A132" s="103" t="str">
        <f>CONCATENATE(Tableau4[[#This Row],[CODE COM]],"_",Tableau4[[#This Row],[COULEUR]],"_",Tableau4[[#This Row],[CODE FAB]],"_",Tableau4[[#This Row],[Num de Lot]])</f>
        <v>C26_ROUGE FERRARI_NM15-26.00_65344</v>
      </c>
      <c r="B132" s="99" t="s">
        <v>103</v>
      </c>
      <c r="C132" s="99" t="s">
        <v>146</v>
      </c>
      <c r="D132" s="99" t="s">
        <v>145</v>
      </c>
      <c r="E132" s="99" t="s">
        <v>144</v>
      </c>
      <c r="F132" s="99">
        <v>65344</v>
      </c>
      <c r="G132" s="99" t="s">
        <v>431</v>
      </c>
      <c r="H132" s="100">
        <v>0</v>
      </c>
      <c r="I132" s="101">
        <v>0</v>
      </c>
      <c r="J132" s="102">
        <v>0</v>
      </c>
      <c r="K132" s="101">
        <v>1970.54</v>
      </c>
      <c r="L132" s="102">
        <v>0</v>
      </c>
      <c r="M132" s="101">
        <v>0</v>
      </c>
      <c r="N132" s="102">
        <v>0</v>
      </c>
      <c r="O132" s="101">
        <v>0</v>
      </c>
      <c r="P132" s="101">
        <v>1970.54</v>
      </c>
    </row>
    <row r="133" spans="1:16" ht="28.5" thickTop="1" thickBot="1" x14ac:dyDescent="0.3">
      <c r="A133" s="103" t="str">
        <f>CONCATENATE(Tableau4[[#This Row],[CODE COM]],"_",Tableau4[[#This Row],[COULEUR]],"_",Tableau4[[#This Row],[CODE FAB]],"_",Tableau4[[#This Row],[Num de Lot]])</f>
        <v>C27_ROUGE BORDEAU_NM07/2-27.00_60703</v>
      </c>
      <c r="B133" s="99" t="s">
        <v>143</v>
      </c>
      <c r="C133" s="99" t="s">
        <v>140</v>
      </c>
      <c r="D133" s="99" t="s">
        <v>139</v>
      </c>
      <c r="E133" s="99" t="s">
        <v>142</v>
      </c>
      <c r="F133" s="99">
        <v>60703</v>
      </c>
      <c r="G133" s="99" t="s">
        <v>431</v>
      </c>
      <c r="H133" s="100">
        <v>0</v>
      </c>
      <c r="I133" s="101">
        <v>46</v>
      </c>
      <c r="J133" s="102">
        <v>0</v>
      </c>
      <c r="K133" s="101">
        <v>0</v>
      </c>
      <c r="L133" s="102">
        <v>148</v>
      </c>
      <c r="M133" s="101">
        <v>518</v>
      </c>
      <c r="N133" s="102">
        <v>156</v>
      </c>
      <c r="O133" s="101">
        <v>546</v>
      </c>
      <c r="P133" s="101">
        <v>1110</v>
      </c>
    </row>
    <row r="134" spans="1:16" ht="28.5" thickTop="1" thickBot="1" x14ac:dyDescent="0.3">
      <c r="A134" s="103" t="str">
        <f>CONCATENATE(Tableau4[[#This Row],[CODE COM]],"_",Tableau4[[#This Row],[COULEUR]],"_",Tableau4[[#This Row],[CODE FAB]],"_",Tableau4[[#This Row],[Num de Lot]])</f>
        <v>C27_ROUGE BORDEAU_NM15-27.00_61518</v>
      </c>
      <c r="B134" s="99" t="s">
        <v>103</v>
      </c>
      <c r="C134" s="99" t="s">
        <v>140</v>
      </c>
      <c r="D134" s="99" t="s">
        <v>139</v>
      </c>
      <c r="E134" s="99" t="s">
        <v>141</v>
      </c>
      <c r="F134" s="99">
        <v>61518</v>
      </c>
      <c r="G134" s="99" t="s">
        <v>431</v>
      </c>
      <c r="H134" s="100">
        <v>0</v>
      </c>
      <c r="I134" s="101">
        <v>3.5</v>
      </c>
      <c r="J134" s="102">
        <v>305</v>
      </c>
      <c r="K134" s="101">
        <v>1067.5</v>
      </c>
      <c r="L134" s="102">
        <v>0</v>
      </c>
      <c r="M134" s="101">
        <v>0</v>
      </c>
      <c r="N134" s="102">
        <v>0</v>
      </c>
      <c r="O134" s="101">
        <v>0</v>
      </c>
      <c r="P134" s="101">
        <v>1071</v>
      </c>
    </row>
    <row r="135" spans="1:16" ht="28.5" thickTop="1" thickBot="1" x14ac:dyDescent="0.3">
      <c r="A135" s="103" t="str">
        <f>CONCATENATE(Tableau4[[#This Row],[CODE COM]],"_",Tableau4[[#This Row],[COULEUR]],"_",Tableau4[[#This Row],[CODE FAB]],"_",Tableau4[[#This Row],[Num de Lot]])</f>
        <v>C27_ROUGE BORDEAU_NM15-27.01_S2022</v>
      </c>
      <c r="B135" s="99" t="s">
        <v>103</v>
      </c>
      <c r="C135" s="99" t="s">
        <v>140</v>
      </c>
      <c r="D135" s="99" t="s">
        <v>139</v>
      </c>
      <c r="E135" s="99" t="s">
        <v>138</v>
      </c>
      <c r="F135" s="99" t="s">
        <v>107</v>
      </c>
      <c r="G135" s="99" t="s">
        <v>431</v>
      </c>
      <c r="H135" s="100">
        <v>0</v>
      </c>
      <c r="I135" s="101">
        <v>272</v>
      </c>
      <c r="J135" s="102">
        <v>572</v>
      </c>
      <c r="K135" s="101">
        <v>2002</v>
      </c>
      <c r="L135" s="102">
        <v>0</v>
      </c>
      <c r="M135" s="101">
        <v>0</v>
      </c>
      <c r="N135" s="102">
        <v>0</v>
      </c>
      <c r="O135" s="101">
        <v>0</v>
      </c>
      <c r="P135" s="101">
        <v>2274</v>
      </c>
    </row>
    <row r="136" spans="1:16" ht="16.5" thickTop="1" thickBot="1" x14ac:dyDescent="0.3">
      <c r="A136" s="103" t="str">
        <f>CONCATENATE(Tableau4[[#This Row],[CODE COM]],"_",Tableau4[[#This Row],[COULEUR]],"_",Tableau4[[#This Row],[CODE FAB]],"_",Tableau4[[#This Row],[Num de Lot]])</f>
        <v>C28_FRAMBOISE_NM15-28.01_61639</v>
      </c>
      <c r="B136" s="99" t="s">
        <v>103</v>
      </c>
      <c r="C136" s="99" t="s">
        <v>136</v>
      </c>
      <c r="D136" s="99" t="s">
        <v>135</v>
      </c>
      <c r="E136" s="99" t="s">
        <v>134</v>
      </c>
      <c r="F136" s="99">
        <v>61639</v>
      </c>
      <c r="G136" s="99" t="s">
        <v>431</v>
      </c>
      <c r="H136" s="100">
        <v>0</v>
      </c>
      <c r="I136" s="101">
        <v>386</v>
      </c>
      <c r="J136" s="102">
        <v>429</v>
      </c>
      <c r="K136" s="101">
        <v>1501.5</v>
      </c>
      <c r="L136" s="102">
        <v>0</v>
      </c>
      <c r="M136" s="101">
        <v>0</v>
      </c>
      <c r="N136" s="102">
        <v>0</v>
      </c>
      <c r="O136" s="101">
        <v>0</v>
      </c>
      <c r="P136" s="101">
        <v>1887.5</v>
      </c>
    </row>
    <row r="137" spans="1:16" ht="16.5" thickTop="1" thickBot="1" x14ac:dyDescent="0.3">
      <c r="A137" s="103" t="str">
        <f>CONCATENATE(Tableau4[[#This Row],[CODE COM]],"_",Tableau4[[#This Row],[COULEUR]],"_",Tableau4[[#This Row],[CODE FAB]],"_",Tableau4[[#This Row],[Num de Lot]])</f>
        <v>C28_FRAMBOISE_NM15-28.00_S2022</v>
      </c>
      <c r="B137" s="99" t="s">
        <v>103</v>
      </c>
      <c r="C137" s="105" t="s">
        <v>136</v>
      </c>
      <c r="D137" s="105" t="s">
        <v>135</v>
      </c>
      <c r="E137" s="105" t="s">
        <v>137</v>
      </c>
      <c r="F137" s="99" t="s">
        <v>107</v>
      </c>
      <c r="G137" s="99" t="s">
        <v>431</v>
      </c>
      <c r="H137" s="106">
        <v>0</v>
      </c>
      <c r="I137" s="107">
        <v>112</v>
      </c>
      <c r="J137" s="108">
        <v>0</v>
      </c>
      <c r="K137" s="107">
        <v>0</v>
      </c>
      <c r="L137" s="108">
        <v>0</v>
      </c>
      <c r="M137" s="107">
        <v>0</v>
      </c>
      <c r="N137" s="108">
        <v>0</v>
      </c>
      <c r="O137" s="107">
        <v>0</v>
      </c>
      <c r="P137" s="107">
        <v>112</v>
      </c>
    </row>
    <row r="138" spans="1:16" ht="16.5" thickTop="1" thickBot="1" x14ac:dyDescent="0.3">
      <c r="A138" s="103" t="str">
        <f>CONCATENATE(Tableau4[[#This Row],[CODE COM]],"_",Tableau4[[#This Row],[COULEUR]],"_",Tableau4[[#This Row],[CODE FAB]],"_",Tableau4[[#This Row],[Num de Lot]])</f>
        <v>C29_FUSHIA_NM15-29.00_61549</v>
      </c>
      <c r="B138" s="99" t="s">
        <v>103</v>
      </c>
      <c r="C138" s="99" t="s">
        <v>131</v>
      </c>
      <c r="D138" s="99" t="s">
        <v>130</v>
      </c>
      <c r="E138" s="99" t="s">
        <v>133</v>
      </c>
      <c r="F138" s="99">
        <v>61549</v>
      </c>
      <c r="G138" s="99" t="s">
        <v>431</v>
      </c>
      <c r="H138" s="100">
        <v>0</v>
      </c>
      <c r="I138" s="101">
        <v>209</v>
      </c>
      <c r="J138" s="102">
        <v>154</v>
      </c>
      <c r="K138" s="101">
        <v>539</v>
      </c>
      <c r="L138" s="102">
        <v>0</v>
      </c>
      <c r="M138" s="101">
        <v>0</v>
      </c>
      <c r="N138" s="102">
        <v>0</v>
      </c>
      <c r="O138" s="101">
        <v>0</v>
      </c>
      <c r="P138" s="101">
        <v>748</v>
      </c>
    </row>
    <row r="139" spans="1:16" ht="16.5" thickTop="1" thickBot="1" x14ac:dyDescent="0.3">
      <c r="A139" s="103" t="str">
        <f>CONCATENATE(Tableau4[[#This Row],[CODE COM]],"_",Tableau4[[#This Row],[COULEUR]],"_",Tableau4[[#This Row],[CODE FAB]],"_",Tableau4[[#This Row],[Num de Lot]])</f>
        <v>C29_FUSHIA_NM15-29.00_65333</v>
      </c>
      <c r="B139" s="99" t="s">
        <v>103</v>
      </c>
      <c r="C139" s="99" t="s">
        <v>131</v>
      </c>
      <c r="D139" s="99" t="s">
        <v>130</v>
      </c>
      <c r="E139" s="99" t="s">
        <v>133</v>
      </c>
      <c r="F139" s="99">
        <v>65333</v>
      </c>
      <c r="G139" s="99" t="s">
        <v>431</v>
      </c>
      <c r="H139" s="100">
        <v>0</v>
      </c>
      <c r="I139" s="101">
        <v>0</v>
      </c>
      <c r="J139" s="102">
        <v>0</v>
      </c>
      <c r="K139" s="101">
        <v>984.66</v>
      </c>
      <c r="L139" s="102">
        <v>0</v>
      </c>
      <c r="M139" s="101">
        <v>0</v>
      </c>
      <c r="N139" s="102">
        <v>0</v>
      </c>
      <c r="O139" s="101">
        <v>0</v>
      </c>
      <c r="P139" s="101">
        <v>984.66</v>
      </c>
    </row>
    <row r="140" spans="1:16" ht="16.5" thickTop="1" thickBot="1" x14ac:dyDescent="0.3">
      <c r="A140" s="103" t="str">
        <f>CONCATENATE(Tableau4[[#This Row],[CODE COM]],"_",Tableau4[[#This Row],[COULEUR]],"_",Tableau4[[#This Row],[CODE FAB]],"_",Tableau4[[#This Row],[Num de Lot]])</f>
        <v>C29_FUSHIA_NM15-29.01_S2023</v>
      </c>
      <c r="B140" s="99" t="s">
        <v>103</v>
      </c>
      <c r="C140" s="99" t="s">
        <v>131</v>
      </c>
      <c r="D140" s="99" t="s">
        <v>130</v>
      </c>
      <c r="E140" s="99" t="s">
        <v>132</v>
      </c>
      <c r="F140" s="99" t="s">
        <v>69</v>
      </c>
      <c r="G140" s="99" t="s">
        <v>431</v>
      </c>
      <c r="H140" s="100">
        <v>0</v>
      </c>
      <c r="I140" s="101">
        <v>0</v>
      </c>
      <c r="J140" s="102">
        <v>0</v>
      </c>
      <c r="K140" s="101">
        <v>0</v>
      </c>
      <c r="L140" s="102">
        <v>0</v>
      </c>
      <c r="M140" s="101">
        <v>0</v>
      </c>
      <c r="N140" s="102">
        <v>288</v>
      </c>
      <c r="O140" s="101">
        <v>1008</v>
      </c>
      <c r="P140" s="101">
        <v>1008</v>
      </c>
    </row>
    <row r="141" spans="1:16" ht="16.5" thickTop="1" thickBot="1" x14ac:dyDescent="0.3">
      <c r="A141" s="103" t="str">
        <f>CONCATENATE(Tableau4[[#This Row],[CODE COM]],"_",Tableau4[[#This Row],[COULEUR]],"_",Tableau4[[#This Row],[CODE FAB]],"_",Tableau4[[#This Row],[Num de Lot]])</f>
        <v>C29_FUSHIA_NM20-29.01_S2023</v>
      </c>
      <c r="B141" s="99" t="s">
        <v>82</v>
      </c>
      <c r="C141" s="99" t="s">
        <v>131</v>
      </c>
      <c r="D141" s="99" t="s">
        <v>130</v>
      </c>
      <c r="E141" s="99" t="s">
        <v>129</v>
      </c>
      <c r="F141" s="99" t="s">
        <v>69</v>
      </c>
      <c r="G141" s="99" t="s">
        <v>431</v>
      </c>
      <c r="H141" s="100">
        <v>0</v>
      </c>
      <c r="I141" s="101">
        <v>104</v>
      </c>
      <c r="J141" s="102">
        <v>0</v>
      </c>
      <c r="K141" s="101">
        <v>0</v>
      </c>
      <c r="L141" s="102">
        <v>0</v>
      </c>
      <c r="M141" s="101">
        <v>0</v>
      </c>
      <c r="N141" s="102">
        <v>0</v>
      </c>
      <c r="O141" s="101">
        <v>0</v>
      </c>
      <c r="P141" s="101">
        <v>104</v>
      </c>
    </row>
    <row r="142" spans="1:16" ht="16.5" thickTop="1" thickBot="1" x14ac:dyDescent="0.3">
      <c r="A142" s="103" t="str">
        <f>CONCATENATE(Tableau4[[#This Row],[CODE COM]],"_",Tableau4[[#This Row],[COULEUR]],"_",Tableau4[[#This Row],[CODE FAB]],"_",Tableau4[[#This Row],[Num de Lot]])</f>
        <v>C30_PRALINE_NM15-30.00_61570</v>
      </c>
      <c r="B142" s="99" t="s">
        <v>103</v>
      </c>
      <c r="C142" s="99" t="s">
        <v>128</v>
      </c>
      <c r="D142" s="99" t="s">
        <v>127</v>
      </c>
      <c r="E142" s="99" t="s">
        <v>126</v>
      </c>
      <c r="F142" s="99">
        <v>61570</v>
      </c>
      <c r="G142" s="99" t="s">
        <v>431</v>
      </c>
      <c r="H142" s="100">
        <v>0</v>
      </c>
      <c r="I142" s="101">
        <v>81.900000000000006</v>
      </c>
      <c r="J142" s="102">
        <v>77</v>
      </c>
      <c r="K142" s="101">
        <v>269.5</v>
      </c>
      <c r="L142" s="102">
        <v>0</v>
      </c>
      <c r="M142" s="101">
        <v>0</v>
      </c>
      <c r="N142" s="102">
        <v>0</v>
      </c>
      <c r="O142" s="101">
        <v>0</v>
      </c>
      <c r="P142" s="101">
        <v>351.4</v>
      </c>
    </row>
    <row r="143" spans="1:16" ht="16.5" thickTop="1" thickBot="1" x14ac:dyDescent="0.3">
      <c r="A143" s="103" t="str">
        <f>CONCATENATE(Tableau4[[#This Row],[CODE COM]],"_",Tableau4[[#This Row],[COULEUR]],"_",Tableau4[[#This Row],[CODE FAB]],"_",Tableau4[[#This Row],[Num de Lot]])</f>
        <v>C31_SAUMON_NM15-31.00_61434</v>
      </c>
      <c r="B143" s="99" t="s">
        <v>103</v>
      </c>
      <c r="C143" s="99" t="s">
        <v>125</v>
      </c>
      <c r="D143" s="99" t="s">
        <v>124</v>
      </c>
      <c r="E143" s="99" t="s">
        <v>123</v>
      </c>
      <c r="F143" s="99">
        <v>61434</v>
      </c>
      <c r="G143" s="99" t="s">
        <v>431</v>
      </c>
      <c r="H143" s="100">
        <v>0</v>
      </c>
      <c r="I143" s="101">
        <v>33.5</v>
      </c>
      <c r="J143" s="102">
        <v>680</v>
      </c>
      <c r="K143" s="101">
        <v>2380</v>
      </c>
      <c r="L143" s="102">
        <v>0</v>
      </c>
      <c r="M143" s="101">
        <v>0</v>
      </c>
      <c r="N143" s="102">
        <v>0</v>
      </c>
      <c r="O143" s="101">
        <v>0</v>
      </c>
      <c r="P143" s="101">
        <v>2413.5</v>
      </c>
    </row>
    <row r="144" spans="1:16" ht="16.5" thickTop="1" thickBot="1" x14ac:dyDescent="0.3">
      <c r="A144" s="103" t="str">
        <f>CONCATENATE(Tableau4[[#This Row],[CODE COM]],"_",Tableau4[[#This Row],[COULEUR]],"_",Tableau4[[#This Row],[CODE FAB]],"_",Tableau4[[#This Row],[Num de Lot]])</f>
        <v>C32_ROSE CLAIR_NM05-32.02_56218</v>
      </c>
      <c r="B144" s="99" t="s">
        <v>119</v>
      </c>
      <c r="C144" s="99" t="s">
        <v>118</v>
      </c>
      <c r="D144" s="99" t="s">
        <v>109</v>
      </c>
      <c r="E144" s="99" t="s">
        <v>117</v>
      </c>
      <c r="F144" s="99">
        <v>56218</v>
      </c>
      <c r="G144" s="99" t="s">
        <v>431</v>
      </c>
      <c r="H144" s="100">
        <v>0</v>
      </c>
      <c r="I144" s="101">
        <v>0</v>
      </c>
      <c r="J144" s="102">
        <v>0</v>
      </c>
      <c r="K144" s="101">
        <v>0</v>
      </c>
      <c r="L144" s="102">
        <v>32</v>
      </c>
      <c r="M144" s="101">
        <v>112</v>
      </c>
      <c r="N144" s="102">
        <v>0</v>
      </c>
      <c r="O144" s="101">
        <v>0</v>
      </c>
      <c r="P144" s="101">
        <v>112</v>
      </c>
    </row>
    <row r="145" spans="1:16" ht="16.5" thickTop="1" thickBot="1" x14ac:dyDescent="0.3">
      <c r="A145" s="103" t="str">
        <f>CONCATENATE(Tableau4[[#This Row],[CODE COM]],"_",Tableau4[[#This Row],[COULEUR]],"_",Tableau4[[#This Row],[CODE FAB]],"_",Tableau4[[#This Row],[Num de Lot]])</f>
        <v>C32_ROSE LOTUS_NM05-32.01_59815</v>
      </c>
      <c r="B145" s="99" t="s">
        <v>119</v>
      </c>
      <c r="C145" s="99" t="s">
        <v>121</v>
      </c>
      <c r="D145" s="99" t="s">
        <v>109</v>
      </c>
      <c r="E145" s="99" t="s">
        <v>120</v>
      </c>
      <c r="F145" s="99">
        <v>59815</v>
      </c>
      <c r="G145" s="99" t="s">
        <v>431</v>
      </c>
      <c r="H145" s="100">
        <v>0</v>
      </c>
      <c r="I145" s="101">
        <v>57.5</v>
      </c>
      <c r="J145" s="102">
        <v>0</v>
      </c>
      <c r="K145" s="101">
        <v>0</v>
      </c>
      <c r="L145" s="102">
        <v>0</v>
      </c>
      <c r="M145" s="101">
        <v>0</v>
      </c>
      <c r="N145" s="102">
        <v>308</v>
      </c>
      <c r="O145" s="101">
        <v>1078</v>
      </c>
      <c r="P145" s="101">
        <v>1135.5</v>
      </c>
    </row>
    <row r="146" spans="1:16" ht="16.5" thickTop="1" thickBot="1" x14ac:dyDescent="0.3">
      <c r="A146" s="103" t="str">
        <f>CONCATENATE(Tableau4[[#This Row],[CODE COM]],"_",Tableau4[[#This Row],[COULEUR]],"_",Tableau4[[#This Row],[CODE FAB]],"_",Tableau4[[#This Row],[Num de Lot]])</f>
        <v>C32_ROSE PALE_NM05-32.00_S2023</v>
      </c>
      <c r="B146" s="99" t="s">
        <v>119</v>
      </c>
      <c r="C146" s="99" t="s">
        <v>110</v>
      </c>
      <c r="D146" s="99" t="s">
        <v>109</v>
      </c>
      <c r="E146" s="99" t="s">
        <v>122</v>
      </c>
      <c r="F146" s="99" t="s">
        <v>69</v>
      </c>
      <c r="G146" s="99" t="s">
        <v>431</v>
      </c>
      <c r="H146" s="100">
        <v>0</v>
      </c>
      <c r="I146" s="101">
        <v>0</v>
      </c>
      <c r="J146" s="102">
        <v>0</v>
      </c>
      <c r="K146" s="101">
        <v>0</v>
      </c>
      <c r="L146" s="102">
        <v>0</v>
      </c>
      <c r="M146" s="101">
        <v>0</v>
      </c>
      <c r="N146" s="102">
        <v>0</v>
      </c>
      <c r="O146" s="101">
        <v>0</v>
      </c>
      <c r="P146" s="101">
        <v>0</v>
      </c>
    </row>
    <row r="147" spans="1:16" ht="16.5" thickTop="1" thickBot="1" x14ac:dyDescent="0.3">
      <c r="A147" s="103" t="str">
        <f>CONCATENATE(Tableau4[[#This Row],[CODE COM]],"_",Tableau4[[#This Row],[COULEUR]],"_",Tableau4[[#This Row],[CODE FAB]],"_",Tableau4[[#This Row],[Num de Lot]])</f>
        <v>C32_VIEUX ROSE_NM10-32.00_59550</v>
      </c>
      <c r="B147" s="99" t="s">
        <v>116</v>
      </c>
      <c r="C147" s="99" t="s">
        <v>114</v>
      </c>
      <c r="D147" s="99" t="s">
        <v>109</v>
      </c>
      <c r="E147" s="99" t="s">
        <v>115</v>
      </c>
      <c r="F147" s="99">
        <v>59550</v>
      </c>
      <c r="G147" s="99" t="s">
        <v>431</v>
      </c>
      <c r="H147" s="100">
        <v>0</v>
      </c>
      <c r="I147" s="101">
        <v>0</v>
      </c>
      <c r="J147" s="102">
        <v>0</v>
      </c>
      <c r="K147" s="101">
        <v>0</v>
      </c>
      <c r="L147" s="102">
        <v>0</v>
      </c>
      <c r="M147" s="101">
        <v>0</v>
      </c>
      <c r="N147" s="102">
        <v>0</v>
      </c>
      <c r="O147" s="101">
        <v>0</v>
      </c>
      <c r="P147" s="101">
        <v>0</v>
      </c>
    </row>
    <row r="148" spans="1:16" ht="16.5" thickTop="1" thickBot="1" x14ac:dyDescent="0.3">
      <c r="A148" s="103" t="str">
        <f>CONCATENATE(Tableau4[[#This Row],[CODE COM]],"_",Tableau4[[#This Row],[COULEUR]],"_",Tableau4[[#This Row],[CODE FAB]],"_",Tableau4[[#This Row],[Num de Lot]])</f>
        <v>C32_VIEUX ROSE_NM15-32.00_61455</v>
      </c>
      <c r="B148" s="99" t="s">
        <v>103</v>
      </c>
      <c r="C148" s="99" t="s">
        <v>114</v>
      </c>
      <c r="D148" s="99" t="s">
        <v>109</v>
      </c>
      <c r="E148" s="99" t="s">
        <v>113</v>
      </c>
      <c r="F148" s="99">
        <v>61455</v>
      </c>
      <c r="G148" s="99" t="s">
        <v>431</v>
      </c>
      <c r="H148" s="100">
        <v>0</v>
      </c>
      <c r="I148" s="101">
        <v>38</v>
      </c>
      <c r="J148" s="102">
        <v>143</v>
      </c>
      <c r="K148" s="101">
        <v>500.5</v>
      </c>
      <c r="L148" s="102">
        <v>0</v>
      </c>
      <c r="M148" s="101">
        <v>0</v>
      </c>
      <c r="N148" s="102">
        <v>0</v>
      </c>
      <c r="O148" s="101">
        <v>0</v>
      </c>
      <c r="P148" s="101">
        <v>538.5</v>
      </c>
    </row>
    <row r="149" spans="1:16" ht="16.5" thickTop="1" thickBot="1" x14ac:dyDescent="0.3">
      <c r="A149" s="103" t="str">
        <f>CONCATENATE(Tableau4[[#This Row],[CODE COM]],"_",Tableau4[[#This Row],[COULEUR]],"_",Tableau4[[#This Row],[CODE FAB]],"_",Tableau4[[#This Row],[Num de Lot]])</f>
        <v>C32_ROSE PALE_NM15-32.01_S2023</v>
      </c>
      <c r="B149" s="99" t="s">
        <v>103</v>
      </c>
      <c r="C149" s="99" t="s">
        <v>110</v>
      </c>
      <c r="D149" s="99" t="s">
        <v>109</v>
      </c>
      <c r="E149" s="99" t="s">
        <v>329</v>
      </c>
      <c r="F149" s="99" t="s">
        <v>69</v>
      </c>
      <c r="G149" s="99" t="s">
        <v>431</v>
      </c>
      <c r="H149" s="100">
        <v>0</v>
      </c>
      <c r="I149" s="101">
        <v>0</v>
      </c>
      <c r="J149" s="102">
        <v>0</v>
      </c>
      <c r="K149" s="101">
        <v>0</v>
      </c>
      <c r="L149" s="102">
        <v>0</v>
      </c>
      <c r="M149" s="101">
        <v>0</v>
      </c>
      <c r="N149" s="102">
        <v>0</v>
      </c>
      <c r="O149" s="101">
        <v>0</v>
      </c>
      <c r="P149" s="101">
        <v>0</v>
      </c>
    </row>
    <row r="150" spans="1:16" ht="16.5" thickTop="1" thickBot="1" x14ac:dyDescent="0.3">
      <c r="A150" s="103" t="str">
        <f>CONCATENATE(Tableau4[[#This Row],[CODE COM]],"_",Tableau4[[#This Row],[COULEUR]],"_",Tableau4[[#This Row],[CODE FAB]],"_",Tableau4[[#This Row],[Num de Lot]])</f>
        <v>C32_ROSE BB_NM15-32.02_S2023</v>
      </c>
      <c r="B150" s="99" t="s">
        <v>103</v>
      </c>
      <c r="C150" s="99" t="s">
        <v>112</v>
      </c>
      <c r="D150" s="99" t="s">
        <v>109</v>
      </c>
      <c r="E150" s="99" t="s">
        <v>111</v>
      </c>
      <c r="F150" s="99" t="s">
        <v>69</v>
      </c>
      <c r="G150" s="99" t="s">
        <v>431</v>
      </c>
      <c r="H150" s="100">
        <v>0</v>
      </c>
      <c r="I150" s="101">
        <v>185.5</v>
      </c>
      <c r="J150" s="102">
        <v>0</v>
      </c>
      <c r="K150" s="101">
        <v>0</v>
      </c>
      <c r="L150" s="102">
        <v>0</v>
      </c>
      <c r="M150" s="101">
        <v>0</v>
      </c>
      <c r="N150" s="102">
        <v>0</v>
      </c>
      <c r="O150" s="101">
        <v>0</v>
      </c>
      <c r="P150" s="101">
        <v>185.5</v>
      </c>
    </row>
    <row r="151" spans="1:16" ht="16.5" thickTop="1" thickBot="1" x14ac:dyDescent="0.3">
      <c r="A151" s="103" t="str">
        <f>CONCATENATE(Tableau4[[#This Row],[CODE COM]],"_",Tableau4[[#This Row],[COULEUR]],"_",Tableau4[[#This Row],[CODE FAB]],"_",Tableau4[[#This Row],[Num de Lot]])</f>
        <v>C33_LILA_NM15-33.00_S2023</v>
      </c>
      <c r="B151" s="99" t="s">
        <v>103</v>
      </c>
      <c r="C151" s="99" t="s">
        <v>106</v>
      </c>
      <c r="D151" s="99" t="s">
        <v>105</v>
      </c>
      <c r="E151" s="99" t="s">
        <v>104</v>
      </c>
      <c r="F151" s="99" t="s">
        <v>69</v>
      </c>
      <c r="G151" s="99" t="s">
        <v>431</v>
      </c>
      <c r="H151" s="100">
        <v>0</v>
      </c>
      <c r="I151" s="101">
        <v>22</v>
      </c>
      <c r="J151" s="102">
        <v>0</v>
      </c>
      <c r="K151" s="101">
        <v>0</v>
      </c>
      <c r="L151" s="102">
        <v>0</v>
      </c>
      <c r="M151" s="101">
        <v>0</v>
      </c>
      <c r="N151" s="102">
        <v>0</v>
      </c>
      <c r="O151" s="101">
        <v>0</v>
      </c>
      <c r="P151" s="101">
        <v>22</v>
      </c>
    </row>
    <row r="152" spans="1:16" ht="16.5" thickTop="1" thickBot="1" x14ac:dyDescent="0.3">
      <c r="A152" s="103" t="str">
        <f>CONCATENATE(Tableau4[[#This Row],[CODE COM]],"_",Tableau4[[#This Row],[COULEUR]],"_",Tableau4[[#This Row],[CODE FAB]],"_",Tableau4[[#This Row],[Num de Lot]])</f>
        <v>C34_VIOLET_NM15-34.00_65332</v>
      </c>
      <c r="B152" s="99" t="s">
        <v>103</v>
      </c>
      <c r="C152" s="99" t="s">
        <v>102</v>
      </c>
      <c r="D152" s="99" t="s">
        <v>101</v>
      </c>
      <c r="E152" s="99" t="s">
        <v>100</v>
      </c>
      <c r="F152" s="99">
        <v>65332</v>
      </c>
      <c r="G152" s="99" t="s">
        <v>431</v>
      </c>
      <c r="H152" s="100">
        <v>0</v>
      </c>
      <c r="I152" s="101">
        <v>0</v>
      </c>
      <c r="J152" s="102">
        <v>0</v>
      </c>
      <c r="K152" s="101">
        <v>1000.63</v>
      </c>
      <c r="L152" s="102">
        <v>0</v>
      </c>
      <c r="M152" s="101">
        <v>0</v>
      </c>
      <c r="N152" s="102">
        <v>0</v>
      </c>
      <c r="O152" s="101">
        <v>0</v>
      </c>
      <c r="P152" s="101">
        <v>1000.63</v>
      </c>
    </row>
    <row r="153" spans="1:16" ht="16.5" thickTop="1" thickBot="1" x14ac:dyDescent="0.3">
      <c r="A153" s="103" t="str">
        <f>CONCATENATE(Tableau4[[#This Row],[CODE COM]],"_",Tableau4[[#This Row],[COULEUR]],"_",Tableau4[[#This Row],[CODE FAB]],"_",Tableau4[[#This Row],[Num de Lot]])</f>
        <v>C34_VIOLET_NM15-34.00_S2023</v>
      </c>
      <c r="B153" s="99" t="s">
        <v>103</v>
      </c>
      <c r="C153" s="99" t="s">
        <v>102</v>
      </c>
      <c r="D153" s="99" t="s">
        <v>101</v>
      </c>
      <c r="E153" s="99" t="s">
        <v>100</v>
      </c>
      <c r="F153" s="99" t="s">
        <v>69</v>
      </c>
      <c r="G153" s="99" t="s">
        <v>431</v>
      </c>
      <c r="H153" s="100">
        <v>0</v>
      </c>
      <c r="I153" s="101">
        <v>273</v>
      </c>
      <c r="J153" s="102">
        <v>0</v>
      </c>
      <c r="K153" s="101">
        <v>0</v>
      </c>
      <c r="L153" s="102">
        <v>0</v>
      </c>
      <c r="M153" s="101">
        <v>0</v>
      </c>
      <c r="N153" s="102">
        <v>154</v>
      </c>
      <c r="O153" s="101">
        <v>539</v>
      </c>
      <c r="P153" s="101">
        <v>812</v>
      </c>
    </row>
    <row r="154" spans="1:16" ht="16.5" thickTop="1" thickBot="1" x14ac:dyDescent="0.3">
      <c r="A154" s="103" t="str">
        <f>CONCATENATE(Tableau4[[#This Row],[CODE COM]],"_",Tableau4[[#This Row],[COULEUR]],"_",Tableau4[[#This Row],[CODE FAB]],"_",Tableau4[[#This Row],[Num de Lot]])</f>
        <v>CH_Ecru_CH2/40CE_A220324523/2</v>
      </c>
      <c r="B154" s="109" t="s">
        <v>99</v>
      </c>
      <c r="C154" s="110" t="s">
        <v>96</v>
      </c>
      <c r="D154" s="110" t="s">
        <v>91</v>
      </c>
      <c r="E154" s="99" t="s">
        <v>98</v>
      </c>
      <c r="F154" s="99" t="s">
        <v>97</v>
      </c>
      <c r="G154" s="99" t="s">
        <v>432</v>
      </c>
      <c r="H154" s="111">
        <v>0</v>
      </c>
      <c r="I154" s="112">
        <v>0</v>
      </c>
      <c r="J154" s="104">
        <v>0</v>
      </c>
      <c r="K154" s="101">
        <v>0</v>
      </c>
      <c r="L154" s="102">
        <v>0</v>
      </c>
      <c r="M154" s="101">
        <v>0</v>
      </c>
      <c r="N154" s="102">
        <v>0</v>
      </c>
      <c r="O154" s="101">
        <v>4530.6000000000004</v>
      </c>
      <c r="P154" s="101">
        <v>4530.6000000000004</v>
      </c>
    </row>
    <row r="155" spans="1:16" ht="16.5" thickTop="1" thickBot="1" x14ac:dyDescent="0.3">
      <c r="A155" s="103" t="str">
        <f>CONCATENATE(Tableau4[[#This Row],[CODE COM]],"_",Tableau4[[#This Row],[COULEUR]],"_",Tableau4[[#This Row],[CODE FAB]],"_",Tableau4[[#This Row],[Num de Lot]])</f>
        <v>CH_Ecru_CH2/50CE_17000003</v>
      </c>
      <c r="B155" s="109" t="s">
        <v>93</v>
      </c>
      <c r="C155" s="110" t="s">
        <v>96</v>
      </c>
      <c r="D155" s="110" t="s">
        <v>91</v>
      </c>
      <c r="E155" s="99" t="s">
        <v>95</v>
      </c>
      <c r="F155" s="99">
        <v>17000003</v>
      </c>
      <c r="G155" s="99" t="s">
        <v>432</v>
      </c>
      <c r="H155" s="111">
        <v>0</v>
      </c>
      <c r="I155" s="112">
        <v>0</v>
      </c>
      <c r="J155" s="104">
        <v>0</v>
      </c>
      <c r="K155" s="101">
        <v>0</v>
      </c>
      <c r="L155" s="102">
        <v>0</v>
      </c>
      <c r="M155" s="101">
        <v>0</v>
      </c>
      <c r="N155" s="102">
        <v>0</v>
      </c>
      <c r="O155" s="101">
        <v>0</v>
      </c>
      <c r="P155" s="101">
        <v>0</v>
      </c>
    </row>
    <row r="156" spans="1:16" ht="16.5" thickTop="1" thickBot="1" x14ac:dyDescent="0.3">
      <c r="A156" s="103" t="str">
        <f>CONCATENATE(Tableau4[[#This Row],[CODE COM]],"_",Tableau4[[#This Row],[COULEUR]],"_",Tableau4[[#This Row],[CODE FAB]],"_",Tableau4[[#This Row],[Num de Lot]])</f>
        <v>CH_Blanc_CH2/50VB_18950002</v>
      </c>
      <c r="B156" s="109" t="s">
        <v>93</v>
      </c>
      <c r="C156" s="110" t="s">
        <v>327</v>
      </c>
      <c r="D156" s="110" t="s">
        <v>91</v>
      </c>
      <c r="E156" s="99" t="s">
        <v>328</v>
      </c>
      <c r="F156" s="99">
        <v>18950002</v>
      </c>
      <c r="G156" s="99" t="s">
        <v>432</v>
      </c>
      <c r="H156" s="111">
        <v>0</v>
      </c>
      <c r="I156" s="112">
        <v>0</v>
      </c>
      <c r="J156" s="104">
        <v>0</v>
      </c>
      <c r="K156" s="101">
        <v>0</v>
      </c>
      <c r="L156" s="102">
        <v>0</v>
      </c>
      <c r="M156" s="101">
        <v>0</v>
      </c>
      <c r="N156" s="102">
        <v>0</v>
      </c>
      <c r="O156" s="101">
        <v>0</v>
      </c>
      <c r="P156" s="101">
        <v>0</v>
      </c>
    </row>
    <row r="157" spans="1:16" ht="16.5" thickTop="1" thickBot="1" x14ac:dyDescent="0.3">
      <c r="A157" s="103" t="str">
        <f>CONCATENATE(Tableau4[[#This Row],[CODE COM]],"_",Tableau4[[#This Row],[COULEUR]],"_",Tableau4[[#This Row],[CODE FAB]],"_",Tableau4[[#This Row],[Num de Lot]])</f>
        <v>CH_Ecru_CH2/50CE_24580001</v>
      </c>
      <c r="B157" s="109" t="s">
        <v>93</v>
      </c>
      <c r="C157" s="110" t="s">
        <v>96</v>
      </c>
      <c r="D157" s="110" t="s">
        <v>91</v>
      </c>
      <c r="E157" s="99" t="s">
        <v>95</v>
      </c>
      <c r="F157" s="99">
        <v>24580001</v>
      </c>
      <c r="G157" s="99" t="s">
        <v>432</v>
      </c>
      <c r="H157" s="111">
        <v>0</v>
      </c>
      <c r="I157" s="112">
        <v>0</v>
      </c>
      <c r="J157" s="104">
        <v>0</v>
      </c>
      <c r="K157" s="101">
        <v>544.32000000000005</v>
      </c>
      <c r="L157" s="102">
        <v>0</v>
      </c>
      <c r="M157" s="101">
        <v>0</v>
      </c>
      <c r="N157" s="102">
        <v>0</v>
      </c>
      <c r="O157" s="101">
        <v>0</v>
      </c>
      <c r="P157" s="101">
        <v>544.32000000000005</v>
      </c>
    </row>
    <row r="158" spans="1:16" ht="16.5" thickTop="1" thickBot="1" x14ac:dyDescent="0.3">
      <c r="A158" s="103" t="str">
        <f>CONCATENATE(Tableau4[[#This Row],[CODE COM]],"_",Tableau4[[#This Row],[COULEUR]],"_",Tableau4[[#This Row],[CODE FAB]],"_",Tableau4[[#This Row],[Num de Lot]])</f>
        <v>CH_Ecru_CH2/50CE_24580002</v>
      </c>
      <c r="B158" s="109" t="s">
        <v>93</v>
      </c>
      <c r="C158" s="110" t="s">
        <v>96</v>
      </c>
      <c r="D158" s="110" t="s">
        <v>91</v>
      </c>
      <c r="E158" s="99" t="s">
        <v>95</v>
      </c>
      <c r="F158" s="99">
        <v>24580002</v>
      </c>
      <c r="G158" s="99" t="s">
        <v>432</v>
      </c>
      <c r="H158" s="111">
        <v>0</v>
      </c>
      <c r="I158" s="112">
        <v>0</v>
      </c>
      <c r="J158" s="104">
        <v>0</v>
      </c>
      <c r="K158" s="101">
        <v>0</v>
      </c>
      <c r="L158" s="102">
        <v>0</v>
      </c>
      <c r="M158" s="101">
        <v>0</v>
      </c>
      <c r="N158" s="102">
        <v>0</v>
      </c>
      <c r="O158" s="101">
        <v>0</v>
      </c>
      <c r="P158" s="101">
        <v>0</v>
      </c>
    </row>
    <row r="159" spans="1:16" ht="16.5" thickTop="1" thickBot="1" x14ac:dyDescent="0.3">
      <c r="A159" s="103" t="str">
        <f>CONCATENATE(Tableau4[[#This Row],[CODE COM]],"_",Tableau4[[#This Row],[COULEUR]],"_",Tableau4[[#This Row],[CODE FAB]],"_",Tableau4[[#This Row],[Num de Lot]])</f>
        <v>CH_Noir_CH2/50PN_400722.5</v>
      </c>
      <c r="B159" s="109" t="s">
        <v>93</v>
      </c>
      <c r="C159" s="110" t="s">
        <v>92</v>
      </c>
      <c r="D159" s="110" t="s">
        <v>91</v>
      </c>
      <c r="E159" s="99" t="s">
        <v>90</v>
      </c>
      <c r="F159" s="99" t="s">
        <v>89</v>
      </c>
      <c r="G159" s="99" t="s">
        <v>432</v>
      </c>
      <c r="H159" s="111">
        <v>0</v>
      </c>
      <c r="I159" s="112">
        <v>0</v>
      </c>
      <c r="J159" s="104">
        <v>0</v>
      </c>
      <c r="K159" s="101">
        <v>9550.4</v>
      </c>
      <c r="L159" s="102">
        <v>0</v>
      </c>
      <c r="M159" s="101">
        <v>0</v>
      </c>
      <c r="N159" s="102">
        <v>0</v>
      </c>
      <c r="O159" s="101">
        <v>0</v>
      </c>
      <c r="P159" s="101">
        <v>9550.4</v>
      </c>
    </row>
    <row r="160" spans="1:16" ht="16.5" thickTop="1" thickBot="1" x14ac:dyDescent="0.3">
      <c r="A160" s="103" t="str">
        <f>CONCATENATE(Tableau4[[#This Row],[CODE COM]],"_",Tableau4[[#This Row],[COULEUR]],"_",Tableau4[[#This Row],[CODE FAB]],"_",Tableau4[[#This Row],[Num de Lot]])</f>
        <v>CH_Blanc_CH2/50PB_405822.2</v>
      </c>
      <c r="B160" s="109" t="s">
        <v>93</v>
      </c>
      <c r="C160" s="110" t="s">
        <v>327</v>
      </c>
      <c r="D160" s="110" t="s">
        <v>91</v>
      </c>
      <c r="E160" s="99" t="s">
        <v>326</v>
      </c>
      <c r="F160" s="99" t="s">
        <v>325</v>
      </c>
      <c r="G160" s="99" t="s">
        <v>432</v>
      </c>
      <c r="H160" s="111">
        <v>0</v>
      </c>
      <c r="I160" s="112">
        <v>0</v>
      </c>
      <c r="J160" s="104">
        <v>0</v>
      </c>
      <c r="K160" s="101">
        <v>0</v>
      </c>
      <c r="L160" s="102">
        <v>0</v>
      </c>
      <c r="M160" s="101">
        <v>0</v>
      </c>
      <c r="N160" s="102">
        <v>0</v>
      </c>
      <c r="O160" s="101">
        <v>0</v>
      </c>
      <c r="P160" s="101">
        <v>0</v>
      </c>
    </row>
    <row r="161" spans="1:16" ht="16.5" thickTop="1" thickBot="1" x14ac:dyDescent="0.3">
      <c r="A161" s="103" t="str">
        <f>CONCATENATE(Tableau4[[#This Row],[CODE COM]],"_",Tableau4[[#This Row],[COULEUR]],"_",Tableau4[[#This Row],[CODE FAB]],"_",Tableau4[[#This Row],[Num de Lot]])</f>
        <v>CH_Ecru_CH2/50CE_A220430552/2</v>
      </c>
      <c r="B161" s="109" t="s">
        <v>93</v>
      </c>
      <c r="C161" s="110" t="s">
        <v>96</v>
      </c>
      <c r="D161" s="110" t="s">
        <v>91</v>
      </c>
      <c r="E161" s="99" t="s">
        <v>95</v>
      </c>
      <c r="F161" s="99" t="s">
        <v>324</v>
      </c>
      <c r="G161" s="99" t="s">
        <v>432</v>
      </c>
      <c r="H161" s="111">
        <v>0</v>
      </c>
      <c r="I161" s="112">
        <v>0</v>
      </c>
      <c r="J161" s="104">
        <v>0</v>
      </c>
      <c r="K161" s="101">
        <v>0</v>
      </c>
      <c r="L161" s="102">
        <v>0</v>
      </c>
      <c r="M161" s="101">
        <v>0</v>
      </c>
      <c r="N161" s="102">
        <v>0</v>
      </c>
      <c r="O161" s="101">
        <v>0</v>
      </c>
      <c r="P161" s="101">
        <v>0</v>
      </c>
    </row>
    <row r="162" spans="1:16" ht="16.5" thickTop="1" thickBot="1" x14ac:dyDescent="0.3">
      <c r="A162" s="103" t="str">
        <f>CONCATENATE(Tableau4[[#This Row],[CODE COM]],"_",Tableau4[[#This Row],[COULEUR]],"_",Tableau4[[#This Row],[CODE FAB]],"_",Tableau4[[#This Row],[Num de Lot]])</f>
        <v>CH_Ecru_CH2/50CE_A220630553/2</v>
      </c>
      <c r="B162" s="109" t="s">
        <v>93</v>
      </c>
      <c r="C162" s="110" t="s">
        <v>96</v>
      </c>
      <c r="D162" s="110" t="s">
        <v>91</v>
      </c>
      <c r="E162" s="99" t="s">
        <v>95</v>
      </c>
      <c r="F162" s="99" t="s">
        <v>323</v>
      </c>
      <c r="G162" s="99" t="s">
        <v>432</v>
      </c>
      <c r="H162" s="111">
        <v>0</v>
      </c>
      <c r="I162" s="112">
        <v>0</v>
      </c>
      <c r="J162" s="104">
        <v>0</v>
      </c>
      <c r="K162" s="101">
        <v>0</v>
      </c>
      <c r="L162" s="102">
        <v>0</v>
      </c>
      <c r="M162" s="101">
        <v>0</v>
      </c>
      <c r="N162" s="102">
        <v>0</v>
      </c>
      <c r="O162" s="101">
        <v>0</v>
      </c>
      <c r="P162" s="101">
        <v>0</v>
      </c>
    </row>
    <row r="163" spans="1:16" ht="16.5" thickTop="1" thickBot="1" x14ac:dyDescent="0.3">
      <c r="A163" s="103" t="str">
        <f>CONCATENATE(Tableau4[[#This Row],[CODE COM]],"_",Tableau4[[#This Row],[COULEUR]],"_",Tableau4[[#This Row],[CODE FAB]],"_",Tableau4[[#This Row],[Num de Lot]])</f>
        <v>CH_Ecru_CH2/50CE_A221030545/2</v>
      </c>
      <c r="B163" s="109" t="s">
        <v>93</v>
      </c>
      <c r="C163" s="110" t="s">
        <v>96</v>
      </c>
      <c r="D163" s="110" t="s">
        <v>91</v>
      </c>
      <c r="E163" s="99" t="s">
        <v>95</v>
      </c>
      <c r="F163" s="99" t="s">
        <v>94</v>
      </c>
      <c r="G163" s="99" t="s">
        <v>432</v>
      </c>
      <c r="H163" s="111">
        <v>0</v>
      </c>
      <c r="I163" s="112">
        <v>0</v>
      </c>
      <c r="J163" s="104">
        <v>0</v>
      </c>
      <c r="K163" s="101">
        <v>1461.6</v>
      </c>
      <c r="L163" s="102">
        <v>0</v>
      </c>
      <c r="M163" s="101">
        <v>0</v>
      </c>
      <c r="N163" s="102">
        <v>0</v>
      </c>
      <c r="O163" s="101">
        <v>0</v>
      </c>
      <c r="P163" s="101">
        <v>1461.6</v>
      </c>
    </row>
    <row r="164" spans="1:16" ht="16.5" thickTop="1" thickBot="1" x14ac:dyDescent="0.3">
      <c r="A164" s="103" t="str">
        <f>CONCATENATE(Tableau4[[#This Row],[CODE COM]],"_",Tableau4[[#This Row],[COULEUR]],"_",Tableau4[[#This Row],[CODE FAB]],"_",Tableau4[[#This Row],[Num de Lot]])</f>
        <v>LinC_LIN Claire_NM20-LinC_S2018</v>
      </c>
      <c r="B164" s="99" t="s">
        <v>82</v>
      </c>
      <c r="C164" s="99" t="s">
        <v>88</v>
      </c>
      <c r="D164" s="99" t="s">
        <v>87</v>
      </c>
      <c r="E164" s="99" t="s">
        <v>86</v>
      </c>
      <c r="F164" s="99" t="s">
        <v>78</v>
      </c>
      <c r="G164" s="99" t="s">
        <v>432</v>
      </c>
      <c r="H164" s="100">
        <v>0</v>
      </c>
      <c r="I164" s="101">
        <v>445</v>
      </c>
      <c r="J164" s="102">
        <v>0</v>
      </c>
      <c r="K164" s="101">
        <v>0</v>
      </c>
      <c r="L164" s="102">
        <v>0</v>
      </c>
      <c r="M164" s="101">
        <v>0</v>
      </c>
      <c r="N164" s="102">
        <v>0</v>
      </c>
      <c r="O164" s="101">
        <v>0</v>
      </c>
      <c r="P164" s="101">
        <v>445</v>
      </c>
    </row>
    <row r="165" spans="1:16" ht="16.5" thickTop="1" thickBot="1" x14ac:dyDescent="0.3">
      <c r="A165" s="103" t="str">
        <f>CONCATENATE(Tableau4[[#This Row],[CODE COM]],"_",Tableau4[[#This Row],[COULEUR]],"_",Tableau4[[#This Row],[CODE FAB]],"_",Tableau4[[#This Row],[Num de Lot]])</f>
        <v>LinF_LIN Fonce_NM20-LinF_S2018</v>
      </c>
      <c r="B165" s="99" t="s">
        <v>82</v>
      </c>
      <c r="C165" s="99" t="s">
        <v>85</v>
      </c>
      <c r="D165" s="99" t="s">
        <v>84</v>
      </c>
      <c r="E165" s="99" t="s">
        <v>83</v>
      </c>
      <c r="F165" s="99" t="s">
        <v>78</v>
      </c>
      <c r="G165" s="99" t="s">
        <v>432</v>
      </c>
      <c r="H165" s="100">
        <v>0</v>
      </c>
      <c r="I165" s="101">
        <v>33</v>
      </c>
      <c r="J165" s="102">
        <v>0</v>
      </c>
      <c r="K165" s="101">
        <v>0</v>
      </c>
      <c r="L165" s="102">
        <v>0</v>
      </c>
      <c r="M165" s="101">
        <v>0</v>
      </c>
      <c r="N165" s="102">
        <v>0</v>
      </c>
      <c r="O165" s="101">
        <v>0</v>
      </c>
      <c r="P165" s="101">
        <v>33</v>
      </c>
    </row>
    <row r="166" spans="1:16" ht="16.5" thickTop="1" thickBot="1" x14ac:dyDescent="0.3">
      <c r="A166" s="103" t="str">
        <f>CONCATENATE(Tableau4[[#This Row],[CODE COM]],"_",Tableau4[[#This Row],[COULEUR]],"_",Tableau4[[#This Row],[CODE FAB]],"_",Tableau4[[#This Row],[Num de Lot]])</f>
        <v>LinM_LIN Moyen_NM20-LinM_S2018</v>
      </c>
      <c r="B166" s="99" t="s">
        <v>82</v>
      </c>
      <c r="C166" s="99" t="s">
        <v>81</v>
      </c>
      <c r="D166" s="99" t="s">
        <v>80</v>
      </c>
      <c r="E166" s="99" t="s">
        <v>79</v>
      </c>
      <c r="F166" s="99" t="s">
        <v>78</v>
      </c>
      <c r="G166" s="99" t="s">
        <v>432</v>
      </c>
      <c r="H166" s="100">
        <v>0</v>
      </c>
      <c r="I166" s="101">
        <v>163</v>
      </c>
      <c r="J166" s="102">
        <v>0</v>
      </c>
      <c r="K166" s="101">
        <v>0</v>
      </c>
      <c r="L166" s="102">
        <v>0</v>
      </c>
      <c r="M166" s="101">
        <v>0</v>
      </c>
      <c r="N166" s="102">
        <v>0</v>
      </c>
      <c r="O166" s="101">
        <v>0</v>
      </c>
      <c r="P166" s="101">
        <v>163</v>
      </c>
    </row>
    <row r="167" spans="1:16" ht="16.5" thickTop="1" thickBot="1" x14ac:dyDescent="0.3">
      <c r="A167" s="103" t="str">
        <f>CONCATENATE(Tableau4[[#This Row],[CODE COM]],"_",Tableau4[[#This Row],[COULEUR]],"_",Tableau4[[#This Row],[CODE FAB]],"_",Tableau4[[#This Row],[Num de Lot]])</f>
        <v>LuAr_LUREX ARGENT_LuAr_S2023</v>
      </c>
      <c r="B167" s="99" t="s">
        <v>72</v>
      </c>
      <c r="C167" s="99" t="s">
        <v>77</v>
      </c>
      <c r="D167" s="99" t="s">
        <v>76</v>
      </c>
      <c r="E167" s="99" t="s">
        <v>76</v>
      </c>
      <c r="F167" s="99" t="s">
        <v>69</v>
      </c>
      <c r="G167" s="99" t="s">
        <v>431</v>
      </c>
      <c r="H167" s="100">
        <v>104</v>
      </c>
      <c r="I167" s="101">
        <v>52</v>
      </c>
      <c r="J167" s="102">
        <v>0</v>
      </c>
      <c r="K167" s="101">
        <v>0</v>
      </c>
      <c r="L167" s="102">
        <v>0</v>
      </c>
      <c r="M167" s="101">
        <v>0</v>
      </c>
      <c r="N167" s="102">
        <v>0</v>
      </c>
      <c r="O167" s="101">
        <v>0</v>
      </c>
      <c r="P167" s="101">
        <v>52</v>
      </c>
    </row>
    <row r="168" spans="1:16" ht="16.5" thickTop="1" thickBot="1" x14ac:dyDescent="0.3">
      <c r="A168" s="113" t="str">
        <f>CONCATENATE(Tableau4[[#This Row],[CODE COM]],"_",Tableau4[[#This Row],[COULEUR]],"_",Tableau4[[#This Row],[CODE FAB]],"_",Tableau4[[#This Row],[Num de Lot]])</f>
        <v>LuDo_LUREX DORE_LuDo_S2023</v>
      </c>
      <c r="B168" s="99" t="s">
        <v>72</v>
      </c>
      <c r="C168" s="99" t="s">
        <v>71</v>
      </c>
      <c r="D168" s="99" t="s">
        <v>70</v>
      </c>
      <c r="E168" s="99" t="s">
        <v>70</v>
      </c>
      <c r="F168" s="99" t="s">
        <v>69</v>
      </c>
      <c r="G168" s="99" t="s">
        <v>431</v>
      </c>
      <c r="H168" s="100">
        <v>92</v>
      </c>
      <c r="I168" s="101">
        <v>46</v>
      </c>
      <c r="J168" s="102">
        <v>0</v>
      </c>
      <c r="K168" s="101">
        <v>0</v>
      </c>
      <c r="L168" s="102">
        <v>0</v>
      </c>
      <c r="M168" s="101">
        <v>0</v>
      </c>
      <c r="N168" s="102">
        <v>0</v>
      </c>
      <c r="O168" s="101">
        <v>0</v>
      </c>
      <c r="P168" s="101">
        <v>46</v>
      </c>
    </row>
    <row r="169" spans="1:16" ht="15.75" thickTop="1" x14ac:dyDescent="0.25"/>
  </sheetData>
  <pageMargins left="0.23622047244094491" right="0.23622047244094491" top="0" bottom="0" header="0.31496062992125984" footer="0.31496062992125984"/>
  <pageSetup paperSize="9" scale="56" fitToHeight="0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73D92-C8A4-4618-942F-168BDB9BA78E}">
  <sheetPr>
    <pageSetUpPr fitToPage="1"/>
  </sheetPr>
  <dimension ref="A1:P140"/>
  <sheetViews>
    <sheetView showGridLines="0" showWhiteSpace="0" view="pageLayout" zoomScaleNormal="100" workbookViewId="0">
      <selection activeCell="F7" sqref="F7"/>
    </sheetView>
  </sheetViews>
  <sheetFormatPr baseColWidth="10" defaultColWidth="9.5703125" defaultRowHeight="15" x14ac:dyDescent="0.25"/>
  <cols>
    <col min="1" max="4" width="9.140625" customWidth="1"/>
    <col min="5" max="11" width="9.28515625" customWidth="1"/>
    <col min="12" max="12" width="10" customWidth="1"/>
    <col min="13" max="14" width="9.140625" customWidth="1"/>
    <col min="15" max="15" width="8.85546875" customWidth="1"/>
    <col min="16" max="16" width="9.140625" customWidth="1"/>
  </cols>
  <sheetData>
    <row r="1" spans="1:16" ht="28.5" x14ac:dyDescent="0.25">
      <c r="A1" s="91"/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</row>
    <row r="2" spans="1:16" ht="21.75" customHeight="1" x14ac:dyDescent="0.25">
      <c r="A2" s="96"/>
      <c r="B2" s="96"/>
      <c r="C2" s="96"/>
      <c r="D2" s="96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</row>
    <row r="3" spans="1:16" ht="14.1" customHeight="1" x14ac:dyDescent="0.25">
      <c r="A3" s="90"/>
      <c r="B3" s="90"/>
      <c r="C3" s="90"/>
      <c r="D3" s="90"/>
      <c r="E3" s="90"/>
      <c r="F3" s="90"/>
      <c r="G3" s="90"/>
      <c r="H3" s="90"/>
      <c r="I3" s="90"/>
      <c r="J3" s="90"/>
      <c r="K3" s="94"/>
      <c r="L3" s="94"/>
      <c r="M3" s="93"/>
      <c r="N3" s="93"/>
      <c r="O3" s="90"/>
      <c r="P3" s="90"/>
    </row>
    <row r="4" spans="1:16" ht="14.1" customHeight="1" x14ac:dyDescent="0.25">
      <c r="A4" s="90"/>
      <c r="B4" s="90"/>
      <c r="C4" s="90"/>
      <c r="D4" s="90"/>
      <c r="E4" s="93"/>
      <c r="F4" s="93"/>
      <c r="G4" s="93"/>
      <c r="H4" s="93"/>
      <c r="I4" s="90"/>
      <c r="J4" s="90"/>
      <c r="K4" s="90"/>
      <c r="L4" s="90"/>
      <c r="M4" s="90"/>
      <c r="N4" s="90"/>
      <c r="O4" s="90"/>
      <c r="P4" s="90"/>
    </row>
    <row r="5" spans="1:16" ht="15" customHeight="1" x14ac:dyDescent="0.25">
      <c r="A5" s="38"/>
      <c r="B5" s="39"/>
      <c r="C5" s="38"/>
      <c r="D5" s="39"/>
      <c r="E5" s="40"/>
      <c r="F5" s="41"/>
      <c r="G5" s="38"/>
      <c r="H5" s="38"/>
      <c r="I5" s="40"/>
      <c r="J5" s="42"/>
      <c r="K5" s="39"/>
      <c r="L5" s="39"/>
      <c r="M5" s="40"/>
      <c r="N5" s="41"/>
      <c r="O5" s="38"/>
      <c r="P5" s="38"/>
    </row>
    <row r="6" spans="1:16" ht="20.25" customHeight="1" x14ac:dyDescent="0.25">
      <c r="A6" s="43"/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</row>
    <row r="7" spans="1:16" ht="124.5" customHeight="1" x14ac:dyDescent="0.25">
      <c r="A7" s="44"/>
      <c r="B7" s="45"/>
      <c r="C7" s="45"/>
      <c r="D7" s="45"/>
      <c r="E7" s="44"/>
      <c r="F7" s="45"/>
      <c r="G7" s="45"/>
      <c r="H7" s="45"/>
      <c r="I7" s="44"/>
      <c r="J7" s="45"/>
      <c r="K7" s="45"/>
      <c r="L7" s="45"/>
      <c r="M7" s="44"/>
      <c r="N7" s="45"/>
      <c r="O7" s="45"/>
      <c r="P7" s="45"/>
    </row>
    <row r="8" spans="1:16" ht="35.25" customHeight="1" x14ac:dyDescent="0.25">
      <c r="A8" s="91"/>
      <c r="B8" s="91"/>
      <c r="C8" s="91"/>
      <c r="D8" s="91"/>
      <c r="E8" s="91"/>
      <c r="F8" s="91"/>
      <c r="G8" s="91"/>
      <c r="H8" s="91"/>
      <c r="I8" s="91"/>
      <c r="J8" s="91"/>
      <c r="K8" s="91"/>
      <c r="L8" s="91"/>
      <c r="M8" s="91"/>
      <c r="N8" s="91"/>
      <c r="O8" s="91"/>
      <c r="P8" s="91"/>
    </row>
    <row r="9" spans="1:16" ht="86.25" customHeight="1" x14ac:dyDescent="0.25">
      <c r="A9" s="92"/>
      <c r="B9" s="92"/>
      <c r="C9" s="92"/>
      <c r="D9" s="92"/>
      <c r="E9" s="92"/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</row>
    <row r="10" spans="1:16" x14ac:dyDescent="0.25">
      <c r="A10" s="90"/>
      <c r="B10" s="90"/>
      <c r="C10" s="90"/>
      <c r="D10" s="90"/>
      <c r="E10" s="90"/>
      <c r="F10" s="90"/>
      <c r="G10" s="90"/>
      <c r="H10" s="90"/>
      <c r="I10" s="90"/>
      <c r="J10" s="90"/>
      <c r="K10" s="90"/>
      <c r="L10" s="90"/>
      <c r="M10" s="90"/>
      <c r="N10" s="90"/>
      <c r="O10" s="90"/>
      <c r="P10" s="90"/>
    </row>
    <row r="11" spans="1:16" x14ac:dyDescent="0.25">
      <c r="A11" s="90"/>
      <c r="B11" s="90"/>
      <c r="C11" s="90"/>
      <c r="D11" s="90"/>
      <c r="E11" s="90"/>
      <c r="F11" s="90"/>
      <c r="G11" s="90"/>
      <c r="H11" s="90"/>
      <c r="I11" s="90"/>
      <c r="J11" s="90"/>
      <c r="K11" s="90"/>
      <c r="L11" s="90"/>
      <c r="M11" s="90"/>
      <c r="N11" s="90"/>
      <c r="O11" s="90"/>
      <c r="P11" s="90"/>
    </row>
    <row r="12" spans="1:16" ht="14.1" customHeight="1" x14ac:dyDescent="0.25">
      <c r="A12" s="40"/>
      <c r="B12" s="38"/>
      <c r="C12" s="38"/>
      <c r="D12" s="38"/>
      <c r="E12" s="38"/>
      <c r="F12" s="38"/>
      <c r="G12" s="38"/>
      <c r="H12" s="38"/>
      <c r="I12" s="46"/>
      <c r="J12" s="38"/>
      <c r="K12" s="38"/>
      <c r="L12" s="38"/>
      <c r="M12" s="46"/>
      <c r="N12" s="38"/>
      <c r="O12" s="38"/>
      <c r="P12" s="38"/>
    </row>
    <row r="13" spans="1:16" ht="19.5" customHeight="1" x14ac:dyDescent="0.25">
      <c r="A13" s="43"/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</row>
    <row r="14" spans="1:16" ht="105.75" customHeight="1" x14ac:dyDescent="0.25">
      <c r="A14" s="44"/>
      <c r="B14" s="45"/>
      <c r="C14" s="45"/>
      <c r="D14" s="45"/>
      <c r="E14" s="44"/>
      <c r="F14" s="45"/>
      <c r="G14" s="45"/>
      <c r="H14" s="45"/>
      <c r="I14" s="44"/>
      <c r="J14" s="47"/>
      <c r="K14" s="45"/>
      <c r="L14" s="47"/>
      <c r="M14" s="44"/>
      <c r="N14" s="45"/>
      <c r="O14" s="45"/>
      <c r="P14" s="45"/>
    </row>
    <row r="15" spans="1:16" ht="28.5" x14ac:dyDescent="0.25">
      <c r="A15" s="91"/>
      <c r="B15" s="91"/>
      <c r="C15" s="91"/>
      <c r="D15" s="91"/>
      <c r="E15" s="91"/>
      <c r="F15" s="91"/>
      <c r="G15" s="91"/>
      <c r="H15" s="91"/>
      <c r="I15" s="91"/>
      <c r="J15" s="91"/>
      <c r="K15" s="91"/>
      <c r="L15" s="91"/>
      <c r="M15" s="91"/>
      <c r="N15" s="91"/>
      <c r="O15" s="91"/>
      <c r="P15" s="91"/>
    </row>
    <row r="16" spans="1:16" ht="66.2" customHeight="1" x14ac:dyDescent="0.25">
      <c r="A16" s="95"/>
      <c r="B16" s="95"/>
      <c r="C16" s="95"/>
      <c r="D16" s="95"/>
      <c r="E16" s="95"/>
      <c r="F16" s="95"/>
      <c r="G16" s="95"/>
      <c r="H16" s="95"/>
      <c r="I16" s="95"/>
      <c r="J16" s="95"/>
      <c r="K16" s="95"/>
      <c r="L16" s="95"/>
      <c r="M16" s="95"/>
      <c r="N16" s="95"/>
      <c r="O16" s="95"/>
      <c r="P16" s="95"/>
    </row>
    <row r="17" spans="1:16" x14ac:dyDescent="0.25">
      <c r="A17" s="90"/>
      <c r="B17" s="90"/>
      <c r="C17" s="90"/>
      <c r="D17" s="90"/>
      <c r="E17" s="90"/>
      <c r="F17" s="90"/>
      <c r="G17" s="90"/>
      <c r="H17" s="90"/>
      <c r="I17" s="90"/>
      <c r="J17" s="90"/>
      <c r="K17" s="94"/>
      <c r="L17" s="94"/>
      <c r="M17" s="93"/>
      <c r="N17" s="93"/>
      <c r="O17" s="90"/>
      <c r="P17" s="90"/>
    </row>
    <row r="18" spans="1:16" x14ac:dyDescent="0.25">
      <c r="A18" s="93"/>
      <c r="B18" s="93"/>
      <c r="C18" s="90"/>
      <c r="D18" s="90"/>
      <c r="E18" s="93"/>
      <c r="F18" s="93"/>
      <c r="G18" s="93"/>
      <c r="H18" s="93"/>
      <c r="I18" s="90"/>
      <c r="J18" s="90"/>
      <c r="K18" s="90"/>
      <c r="L18" s="90"/>
      <c r="M18" s="90"/>
      <c r="N18" s="90"/>
      <c r="O18" s="90"/>
      <c r="P18" s="90"/>
    </row>
    <row r="19" spans="1:16" x14ac:dyDescent="0.25">
      <c r="A19" s="46"/>
      <c r="B19" s="39"/>
      <c r="C19" s="38"/>
      <c r="D19" s="39"/>
      <c r="E19" s="41"/>
      <c r="F19" s="41"/>
      <c r="G19" s="38"/>
      <c r="H19" s="38"/>
      <c r="I19" s="40"/>
      <c r="J19" s="42"/>
      <c r="K19" s="39"/>
      <c r="L19" s="39"/>
      <c r="M19" s="40"/>
      <c r="N19" s="41"/>
      <c r="O19" s="38"/>
      <c r="P19" s="38"/>
    </row>
    <row r="20" spans="1:16" x14ac:dyDescent="0.25">
      <c r="A20" s="43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</row>
    <row r="21" spans="1:16" ht="130.5" customHeight="1" x14ac:dyDescent="0.25">
      <c r="A21" s="44"/>
      <c r="B21" s="45"/>
      <c r="C21" s="45"/>
      <c r="D21" s="45"/>
      <c r="E21" s="44"/>
      <c r="F21" s="45"/>
      <c r="G21" s="45"/>
      <c r="H21" s="45"/>
      <c r="I21" s="44"/>
      <c r="J21" s="45"/>
      <c r="K21" s="45"/>
      <c r="L21" s="45"/>
      <c r="M21" s="44"/>
      <c r="N21" s="45"/>
      <c r="O21" s="45"/>
      <c r="P21" s="45"/>
    </row>
    <row r="22" spans="1:16" ht="28.5" x14ac:dyDescent="0.25">
      <c r="A22" s="91"/>
      <c r="B22" s="91"/>
      <c r="C22" s="91"/>
      <c r="D22" s="91"/>
      <c r="E22" s="91"/>
      <c r="F22" s="91"/>
      <c r="G22" s="91"/>
      <c r="H22" s="91"/>
      <c r="I22" s="91"/>
      <c r="J22" s="91"/>
      <c r="K22" s="91"/>
      <c r="L22" s="91"/>
      <c r="M22" s="91"/>
      <c r="N22" s="91"/>
      <c r="O22" s="91"/>
      <c r="P22" s="91"/>
    </row>
    <row r="23" spans="1:16" ht="83.45" customHeight="1" x14ac:dyDescent="0.25">
      <c r="A23" s="92"/>
      <c r="B23" s="92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</row>
    <row r="24" spans="1:16" x14ac:dyDescent="0.25">
      <c r="A24" s="90"/>
      <c r="B24" s="90"/>
      <c r="C24" s="90"/>
      <c r="D24" s="90"/>
      <c r="E24" s="90"/>
      <c r="F24" s="90"/>
      <c r="G24" s="90"/>
      <c r="H24" s="90"/>
      <c r="I24" s="90"/>
      <c r="J24" s="90"/>
      <c r="K24" s="90"/>
      <c r="L24" s="90"/>
      <c r="M24" s="90"/>
      <c r="N24" s="90"/>
      <c r="O24" s="90"/>
      <c r="P24" s="90"/>
    </row>
    <row r="25" spans="1:16" x14ac:dyDescent="0.25">
      <c r="A25" s="90"/>
      <c r="B25" s="90"/>
      <c r="C25" s="90"/>
      <c r="D25" s="90"/>
      <c r="E25" s="90"/>
      <c r="F25" s="90"/>
      <c r="G25" s="90"/>
      <c r="H25" s="90"/>
      <c r="I25" s="90"/>
      <c r="J25" s="90"/>
      <c r="K25" s="90"/>
      <c r="L25" s="90"/>
      <c r="M25" s="90"/>
      <c r="N25" s="90"/>
      <c r="O25" s="90"/>
      <c r="P25" s="90"/>
    </row>
    <row r="26" spans="1:16" x14ac:dyDescent="0.25">
      <c r="A26" s="40"/>
      <c r="B26" s="38"/>
      <c r="C26" s="38"/>
      <c r="D26" s="38"/>
      <c r="E26" s="46"/>
      <c r="F26" s="38"/>
      <c r="G26" s="38"/>
      <c r="H26" s="38"/>
      <c r="I26" s="38"/>
      <c r="J26" s="38"/>
      <c r="K26" s="38"/>
      <c r="L26" s="38"/>
      <c r="M26" s="46"/>
      <c r="N26" s="38"/>
      <c r="O26" s="38"/>
      <c r="P26" s="38"/>
    </row>
    <row r="27" spans="1:16" x14ac:dyDescent="0.25">
      <c r="A27" s="43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</row>
    <row r="28" spans="1:16" ht="115.5" customHeight="1" x14ac:dyDescent="0.25">
      <c r="A28" s="44"/>
      <c r="B28" s="48"/>
      <c r="C28" s="45"/>
      <c r="D28" s="45"/>
      <c r="E28" s="44"/>
      <c r="F28" s="48"/>
      <c r="G28" s="45"/>
      <c r="H28" s="45"/>
      <c r="I28" s="44"/>
      <c r="J28" s="47"/>
      <c r="K28" s="45"/>
      <c r="L28" s="45"/>
      <c r="M28" s="44"/>
      <c r="N28" s="45"/>
      <c r="O28" s="45"/>
      <c r="P28" s="45"/>
    </row>
    <row r="29" spans="1:16" ht="28.5" x14ac:dyDescent="0.25">
      <c r="A29" s="91"/>
      <c r="B29" s="91"/>
      <c r="C29" s="91"/>
      <c r="D29" s="91"/>
      <c r="E29" s="91"/>
      <c r="F29" s="91"/>
      <c r="G29" s="91"/>
      <c r="H29" s="91"/>
      <c r="I29" s="91"/>
      <c r="J29" s="91"/>
      <c r="K29" s="91"/>
      <c r="L29" s="91"/>
      <c r="M29" s="91"/>
      <c r="N29" s="91"/>
      <c r="O29" s="91"/>
      <c r="P29" s="91"/>
    </row>
    <row r="30" spans="1:16" ht="85.5" customHeight="1" x14ac:dyDescent="0.25">
      <c r="A30" s="95"/>
      <c r="B30" s="95"/>
      <c r="C30" s="95"/>
      <c r="D30" s="95"/>
      <c r="E30" s="95"/>
      <c r="F30" s="95"/>
      <c r="G30" s="95"/>
      <c r="H30" s="95"/>
      <c r="I30" s="95"/>
      <c r="J30" s="95"/>
      <c r="K30" s="95"/>
      <c r="L30" s="95"/>
      <c r="M30" s="95"/>
      <c r="N30" s="95"/>
      <c r="O30" s="95"/>
      <c r="P30" s="95"/>
    </row>
    <row r="31" spans="1:16" x14ac:dyDescent="0.25">
      <c r="A31" s="90"/>
      <c r="B31" s="90"/>
      <c r="C31" s="90"/>
      <c r="D31" s="90"/>
      <c r="E31" s="90"/>
      <c r="F31" s="90"/>
      <c r="G31" s="90"/>
      <c r="H31" s="90"/>
      <c r="I31" s="90"/>
      <c r="J31" s="90"/>
      <c r="K31" s="94"/>
      <c r="L31" s="94"/>
      <c r="M31" s="93"/>
      <c r="N31" s="93"/>
      <c r="O31" s="90"/>
      <c r="P31" s="90"/>
    </row>
    <row r="32" spans="1:16" x14ac:dyDescent="0.25">
      <c r="A32" s="93"/>
      <c r="B32" s="93"/>
      <c r="C32" s="90"/>
      <c r="D32" s="90"/>
      <c r="E32" s="93"/>
      <c r="F32" s="93"/>
      <c r="G32" s="93"/>
      <c r="H32" s="93"/>
      <c r="I32" s="90"/>
      <c r="J32" s="90"/>
      <c r="K32" s="90"/>
      <c r="L32" s="90"/>
      <c r="M32" s="90"/>
      <c r="N32" s="90"/>
      <c r="O32" s="90"/>
      <c r="P32" s="90"/>
    </row>
    <row r="33" spans="1:16" x14ac:dyDescent="0.25">
      <c r="A33" s="46"/>
      <c r="B33" s="39"/>
      <c r="C33" s="38"/>
      <c r="D33" s="39"/>
      <c r="E33" s="40"/>
      <c r="F33" s="41"/>
      <c r="G33" s="38"/>
      <c r="H33" s="38"/>
      <c r="I33" s="40"/>
      <c r="J33" s="42"/>
      <c r="K33" s="39"/>
      <c r="L33" s="39"/>
      <c r="M33" s="40"/>
      <c r="N33" s="41"/>
      <c r="O33" s="38"/>
      <c r="P33" s="38"/>
    </row>
    <row r="34" spans="1:16" x14ac:dyDescent="0.25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</row>
    <row r="35" spans="1:16" ht="111" customHeight="1" x14ac:dyDescent="0.25">
      <c r="A35" s="44"/>
      <c r="B35" s="47"/>
      <c r="C35" s="45"/>
      <c r="D35" s="45"/>
      <c r="E35" s="44"/>
      <c r="F35" s="47"/>
      <c r="G35" s="45"/>
      <c r="H35" s="45"/>
      <c r="I35" s="44"/>
      <c r="J35" s="48"/>
      <c r="K35" s="45"/>
      <c r="L35" s="45"/>
      <c r="M35" s="44"/>
      <c r="N35" s="48"/>
      <c r="O35" s="45"/>
      <c r="P35" s="45"/>
    </row>
    <row r="36" spans="1:16" ht="28.5" x14ac:dyDescent="0.25">
      <c r="A36" s="91"/>
      <c r="B36" s="91"/>
      <c r="C36" s="91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</row>
    <row r="37" spans="1:16" ht="74.25" customHeight="1" x14ac:dyDescent="0.25">
      <c r="A37" s="92"/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</row>
    <row r="38" spans="1:16" x14ac:dyDescent="0.25">
      <c r="A38" s="90"/>
      <c r="B38" s="90"/>
      <c r="C38" s="90"/>
      <c r="D38" s="90"/>
      <c r="E38" s="90"/>
      <c r="F38" s="90"/>
      <c r="G38" s="90"/>
      <c r="H38" s="90"/>
      <c r="I38" s="90"/>
      <c r="J38" s="90"/>
      <c r="K38" s="90"/>
      <c r="L38" s="90"/>
      <c r="M38" s="90"/>
      <c r="N38" s="90"/>
      <c r="O38" s="90"/>
      <c r="P38" s="90"/>
    </row>
    <row r="39" spans="1:16" x14ac:dyDescent="0.25">
      <c r="A39" s="90"/>
      <c r="B39" s="90"/>
      <c r="C39" s="90"/>
      <c r="D39" s="90"/>
      <c r="E39" s="90"/>
      <c r="F39" s="90"/>
      <c r="G39" s="90"/>
      <c r="H39" s="90"/>
      <c r="I39" s="90"/>
      <c r="J39" s="90"/>
      <c r="K39" s="90"/>
      <c r="L39" s="90"/>
      <c r="M39" s="90"/>
      <c r="N39" s="90"/>
      <c r="O39" s="90"/>
      <c r="P39" s="90"/>
    </row>
    <row r="40" spans="1:16" x14ac:dyDescent="0.25">
      <c r="A40" s="40"/>
      <c r="B40" s="38"/>
      <c r="C40" s="38"/>
      <c r="D40" s="38"/>
      <c r="E40" s="46"/>
      <c r="F40" s="38"/>
      <c r="G40" s="38"/>
      <c r="H40" s="38"/>
      <c r="I40" s="46"/>
      <c r="J40" s="38"/>
      <c r="K40" s="38"/>
      <c r="L40" s="38"/>
      <c r="M40" s="46"/>
      <c r="N40" s="38"/>
      <c r="O40" s="38"/>
      <c r="P40" s="38"/>
    </row>
    <row r="41" spans="1:16" x14ac:dyDescent="0.25">
      <c r="A41" s="43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</row>
    <row r="42" spans="1:16" ht="114.75" customHeight="1" x14ac:dyDescent="0.25">
      <c r="A42" s="44"/>
      <c r="B42" s="45"/>
      <c r="C42" s="45"/>
      <c r="D42" s="45"/>
      <c r="E42" s="44"/>
      <c r="F42" s="45"/>
      <c r="G42" s="45"/>
      <c r="H42" s="45"/>
      <c r="I42" s="44"/>
      <c r="J42" s="47"/>
      <c r="K42" s="47"/>
      <c r="L42" s="47"/>
      <c r="M42" s="44"/>
      <c r="N42" s="45"/>
      <c r="O42" s="45"/>
      <c r="P42" s="45"/>
    </row>
    <row r="43" spans="1:16" ht="28.5" x14ac:dyDescent="0.25">
      <c r="A43" s="91"/>
      <c r="B43" s="91"/>
      <c r="C43" s="91"/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91"/>
      <c r="P43" s="91"/>
    </row>
    <row r="44" spans="1:16" ht="69" customHeight="1" x14ac:dyDescent="0.25">
      <c r="A44" s="95"/>
      <c r="B44" s="95"/>
      <c r="C44" s="95"/>
      <c r="D44" s="95"/>
      <c r="E44" s="95"/>
      <c r="F44" s="95"/>
      <c r="G44" s="95"/>
      <c r="H44" s="95"/>
      <c r="I44" s="95"/>
      <c r="J44" s="95"/>
      <c r="K44" s="95"/>
      <c r="L44" s="95"/>
      <c r="M44" s="95"/>
      <c r="N44" s="95"/>
      <c r="O44" s="95"/>
      <c r="P44" s="95"/>
    </row>
    <row r="45" spans="1:16" x14ac:dyDescent="0.25">
      <c r="A45" s="90"/>
      <c r="B45" s="90"/>
      <c r="C45" s="90"/>
      <c r="D45" s="90"/>
      <c r="E45" s="90"/>
      <c r="F45" s="90"/>
      <c r="G45" s="90"/>
      <c r="H45" s="90"/>
      <c r="I45" s="90"/>
      <c r="J45" s="90"/>
      <c r="K45" s="94"/>
      <c r="L45" s="94"/>
      <c r="M45" s="93"/>
      <c r="N45" s="93"/>
      <c r="O45" s="90"/>
      <c r="P45" s="90"/>
    </row>
    <row r="46" spans="1:16" x14ac:dyDescent="0.25">
      <c r="A46" s="93"/>
      <c r="B46" s="93"/>
      <c r="C46" s="90"/>
      <c r="D46" s="90"/>
      <c r="E46" s="93"/>
      <c r="F46" s="93"/>
      <c r="G46" s="93"/>
      <c r="H46" s="93"/>
      <c r="I46" s="90"/>
      <c r="J46" s="90"/>
      <c r="K46" s="90"/>
      <c r="L46" s="90"/>
      <c r="M46" s="90"/>
      <c r="N46" s="90"/>
      <c r="O46" s="90"/>
      <c r="P46" s="90"/>
    </row>
    <row r="47" spans="1:16" x14ac:dyDescent="0.25">
      <c r="A47" s="46"/>
      <c r="B47" s="39"/>
      <c r="C47" s="38"/>
      <c r="D47" s="39"/>
      <c r="E47" s="40"/>
      <c r="F47" s="41"/>
      <c r="G47" s="38"/>
      <c r="H47" s="38"/>
      <c r="I47" s="40"/>
      <c r="J47" s="42"/>
      <c r="K47" s="39"/>
      <c r="L47" s="39"/>
      <c r="M47" s="40"/>
      <c r="N47" s="41"/>
      <c r="O47" s="38"/>
      <c r="P47" s="38"/>
    </row>
    <row r="48" spans="1:16" x14ac:dyDescent="0.25">
      <c r="A48" s="43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</row>
    <row r="49" spans="1:16" ht="129.75" customHeight="1" x14ac:dyDescent="0.25">
      <c r="A49" s="44"/>
      <c r="B49" s="47"/>
      <c r="C49" s="45"/>
      <c r="D49" s="45"/>
      <c r="E49" s="44"/>
      <c r="F49" s="47"/>
      <c r="G49" s="45"/>
      <c r="H49" s="45"/>
      <c r="I49" s="44"/>
      <c r="J49" s="48"/>
      <c r="K49" s="45"/>
      <c r="L49" s="45"/>
      <c r="M49" s="44"/>
      <c r="N49" s="48"/>
      <c r="O49" s="45"/>
      <c r="P49" s="45"/>
    </row>
    <row r="50" spans="1:16" ht="26.25" customHeight="1" x14ac:dyDescent="0.25">
      <c r="A50" s="91"/>
      <c r="B50" s="91"/>
      <c r="C50" s="91"/>
      <c r="D50" s="91"/>
      <c r="E50" s="91"/>
      <c r="F50" s="91"/>
      <c r="G50" s="91"/>
      <c r="H50" s="91"/>
      <c r="I50" s="91"/>
      <c r="J50" s="91"/>
      <c r="K50" s="91"/>
      <c r="L50" s="91"/>
      <c r="M50" s="91"/>
      <c r="N50" s="91"/>
      <c r="O50" s="91"/>
      <c r="P50" s="91"/>
    </row>
    <row r="51" spans="1:16" ht="66.75" customHeight="1" x14ac:dyDescent="0.25">
      <c r="A51" s="92"/>
      <c r="B51" s="92"/>
      <c r="C51" s="92"/>
      <c r="D51" s="92"/>
      <c r="E51" s="92"/>
      <c r="F51" s="92"/>
      <c r="G51" s="92"/>
      <c r="H51" s="92"/>
      <c r="I51" s="92"/>
      <c r="J51" s="92"/>
      <c r="K51" s="92"/>
      <c r="L51" s="92"/>
      <c r="M51" s="92"/>
      <c r="N51" s="92"/>
      <c r="O51" s="92"/>
      <c r="P51" s="92"/>
    </row>
    <row r="52" spans="1:16" ht="18.75" customHeight="1" x14ac:dyDescent="0.25">
      <c r="A52" s="90"/>
      <c r="B52" s="90"/>
      <c r="C52" s="90"/>
      <c r="D52" s="90"/>
      <c r="E52" s="90"/>
      <c r="F52" s="90"/>
      <c r="G52" s="90"/>
      <c r="H52" s="90"/>
      <c r="I52" s="90"/>
      <c r="J52" s="90"/>
      <c r="K52" s="90"/>
      <c r="L52" s="90"/>
      <c r="M52" s="90"/>
      <c r="N52" s="90"/>
      <c r="O52" s="90"/>
      <c r="P52" s="90"/>
    </row>
    <row r="53" spans="1:16" ht="15" customHeight="1" x14ac:dyDescent="0.25">
      <c r="A53" s="90"/>
      <c r="B53" s="90"/>
      <c r="C53" s="90"/>
      <c r="D53" s="90"/>
      <c r="E53" s="90"/>
      <c r="F53" s="90"/>
      <c r="G53" s="90"/>
      <c r="H53" s="90"/>
      <c r="I53" s="90"/>
      <c r="J53" s="90"/>
      <c r="K53" s="90"/>
      <c r="L53" s="90"/>
      <c r="M53" s="90"/>
      <c r="N53" s="90"/>
      <c r="O53" s="90"/>
      <c r="P53" s="90"/>
    </row>
    <row r="54" spans="1:16" x14ac:dyDescent="0.25">
      <c r="A54" s="40"/>
      <c r="B54" s="38"/>
      <c r="C54" s="38"/>
      <c r="D54" s="38"/>
      <c r="E54" s="46"/>
      <c r="F54" s="38"/>
      <c r="G54" s="38"/>
      <c r="H54" s="38"/>
      <c r="I54" s="46"/>
      <c r="J54" s="38"/>
      <c r="K54" s="38"/>
      <c r="L54" s="38"/>
      <c r="M54" s="46"/>
      <c r="N54" s="38"/>
      <c r="O54" s="38"/>
      <c r="P54" s="38"/>
    </row>
    <row r="55" spans="1:16" x14ac:dyDescent="0.25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</row>
    <row r="56" spans="1:16" ht="111" customHeight="1" x14ac:dyDescent="0.25">
      <c r="A56" s="44"/>
      <c r="B56" s="45"/>
      <c r="C56" s="45"/>
      <c r="D56" s="45"/>
      <c r="E56" s="44"/>
      <c r="F56" s="45"/>
      <c r="G56" s="45"/>
      <c r="H56" s="45"/>
      <c r="I56" s="44"/>
      <c r="J56" s="47"/>
      <c r="K56" s="47"/>
      <c r="L56" s="47"/>
      <c r="M56" s="44"/>
      <c r="N56" s="45"/>
      <c r="O56" s="45"/>
      <c r="P56" s="45"/>
    </row>
    <row r="57" spans="1:16" ht="28.5" x14ac:dyDescent="0.25">
      <c r="A57" s="91"/>
      <c r="B57" s="91"/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1"/>
    </row>
    <row r="58" spans="1:16" ht="69" customHeight="1" x14ac:dyDescent="0.25">
      <c r="A58" s="95"/>
      <c r="B58" s="95"/>
      <c r="C58" s="95"/>
      <c r="D58" s="95"/>
      <c r="E58" s="95"/>
      <c r="F58" s="95"/>
      <c r="G58" s="95"/>
      <c r="H58" s="95"/>
      <c r="I58" s="95"/>
      <c r="J58" s="95"/>
      <c r="K58" s="95"/>
      <c r="L58" s="95"/>
      <c r="M58" s="95"/>
      <c r="N58" s="95"/>
      <c r="O58" s="95"/>
      <c r="P58" s="95"/>
    </row>
    <row r="59" spans="1:16" x14ac:dyDescent="0.25">
      <c r="A59" s="90"/>
      <c r="B59" s="90"/>
      <c r="C59" s="90"/>
      <c r="D59" s="90"/>
      <c r="E59" s="90"/>
      <c r="F59" s="90"/>
      <c r="G59" s="90"/>
      <c r="H59" s="90"/>
      <c r="I59" s="90"/>
      <c r="J59" s="90"/>
      <c r="K59" s="94"/>
      <c r="L59" s="94"/>
      <c r="M59" s="93"/>
      <c r="N59" s="93"/>
      <c r="O59" s="90"/>
      <c r="P59" s="90"/>
    </row>
    <row r="60" spans="1:16" x14ac:dyDescent="0.25">
      <c r="A60" s="93"/>
      <c r="B60" s="93"/>
      <c r="C60" s="90"/>
      <c r="D60" s="90"/>
      <c r="E60" s="93"/>
      <c r="F60" s="93"/>
      <c r="G60" s="93"/>
      <c r="H60" s="93"/>
      <c r="I60" s="90"/>
      <c r="J60" s="90"/>
      <c r="K60" s="90"/>
      <c r="L60" s="90"/>
      <c r="M60" s="90"/>
      <c r="N60" s="90"/>
      <c r="O60" s="90"/>
      <c r="P60" s="90"/>
    </row>
    <row r="61" spans="1:16" x14ac:dyDescent="0.25">
      <c r="A61" s="46"/>
      <c r="B61" s="39"/>
      <c r="C61" s="38"/>
      <c r="D61" s="39"/>
      <c r="E61" s="40"/>
      <c r="F61" s="41"/>
      <c r="G61" s="38"/>
      <c r="H61" s="38"/>
      <c r="I61" s="40"/>
      <c r="J61" s="42"/>
      <c r="K61" s="39"/>
      <c r="L61" s="39"/>
      <c r="M61" s="40"/>
      <c r="N61" s="41"/>
      <c r="O61" s="38"/>
      <c r="P61" s="38"/>
    </row>
    <row r="62" spans="1:16" x14ac:dyDescent="0.25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</row>
    <row r="63" spans="1:16" ht="129.75" customHeight="1" x14ac:dyDescent="0.25">
      <c r="A63" s="44"/>
      <c r="B63" s="47"/>
      <c r="C63" s="45"/>
      <c r="D63" s="45"/>
      <c r="E63" s="44"/>
      <c r="F63" s="47"/>
      <c r="G63" s="45"/>
      <c r="H63" s="45"/>
      <c r="I63" s="44"/>
      <c r="J63" s="48"/>
      <c r="K63" s="45"/>
      <c r="L63" s="45"/>
      <c r="M63" s="44"/>
      <c r="N63" s="48"/>
      <c r="O63" s="45"/>
      <c r="P63" s="45"/>
    </row>
    <row r="64" spans="1:16" ht="28.5" x14ac:dyDescent="0.25">
      <c r="A64" s="91"/>
      <c r="B64" s="91"/>
      <c r="C64" s="91"/>
      <c r="D64" s="91"/>
      <c r="E64" s="91"/>
      <c r="F64" s="91"/>
      <c r="G64" s="91"/>
      <c r="H64" s="91"/>
      <c r="I64" s="91"/>
      <c r="J64" s="91"/>
      <c r="K64" s="91"/>
      <c r="L64" s="91"/>
      <c r="M64" s="91"/>
      <c r="N64" s="91"/>
      <c r="O64" s="91"/>
      <c r="P64" s="91"/>
    </row>
    <row r="65" spans="1:16" ht="65.25" customHeight="1" x14ac:dyDescent="0.25">
      <c r="A65" s="92"/>
      <c r="B65" s="92"/>
      <c r="C65" s="92"/>
      <c r="D65" s="92"/>
      <c r="E65" s="92"/>
      <c r="F65" s="92"/>
      <c r="G65" s="92"/>
      <c r="H65" s="92"/>
      <c r="I65" s="92"/>
      <c r="J65" s="92"/>
      <c r="K65" s="92"/>
      <c r="L65" s="92"/>
      <c r="M65" s="92"/>
      <c r="N65" s="92"/>
      <c r="O65" s="92"/>
      <c r="P65" s="92"/>
    </row>
    <row r="66" spans="1:16" x14ac:dyDescent="0.25">
      <c r="A66" s="90"/>
      <c r="B66" s="90"/>
      <c r="C66" s="90"/>
      <c r="D66" s="90"/>
      <c r="E66" s="90"/>
      <c r="F66" s="90"/>
      <c r="G66" s="90"/>
      <c r="H66" s="90"/>
      <c r="I66" s="90"/>
      <c r="J66" s="90"/>
      <c r="K66" s="90"/>
      <c r="L66" s="90"/>
      <c r="M66" s="90"/>
      <c r="N66" s="90"/>
      <c r="O66" s="90"/>
      <c r="P66" s="90"/>
    </row>
    <row r="67" spans="1:16" x14ac:dyDescent="0.25">
      <c r="A67" s="90"/>
      <c r="B67" s="90"/>
      <c r="C67" s="90"/>
      <c r="D67" s="90"/>
      <c r="E67" s="90"/>
      <c r="F67" s="90"/>
      <c r="G67" s="90"/>
      <c r="H67" s="90"/>
      <c r="I67" s="90"/>
      <c r="J67" s="90"/>
      <c r="K67" s="90"/>
      <c r="L67" s="90"/>
      <c r="M67" s="90"/>
      <c r="N67" s="90"/>
      <c r="O67" s="90"/>
      <c r="P67" s="90"/>
    </row>
    <row r="68" spans="1:16" x14ac:dyDescent="0.25">
      <c r="A68" s="40"/>
      <c r="B68" s="38"/>
      <c r="C68" s="38"/>
      <c r="D68" s="38"/>
      <c r="E68" s="46"/>
      <c r="F68" s="38"/>
      <c r="G68" s="38"/>
      <c r="H68" s="38"/>
      <c r="I68" s="46"/>
      <c r="J68" s="38"/>
      <c r="K68" s="38"/>
      <c r="L68" s="38"/>
      <c r="M68" s="46"/>
      <c r="N68" s="38"/>
      <c r="O68" s="38"/>
      <c r="P68" s="38"/>
    </row>
    <row r="69" spans="1:16" x14ac:dyDescent="0.25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</row>
    <row r="70" spans="1:16" ht="119.25" customHeight="1" x14ac:dyDescent="0.25">
      <c r="A70" s="44"/>
      <c r="B70" s="45"/>
      <c r="C70" s="45"/>
      <c r="D70" s="45"/>
      <c r="E70" s="44"/>
      <c r="F70" s="45"/>
      <c r="G70" s="45"/>
      <c r="H70" s="45"/>
      <c r="I70" s="44"/>
      <c r="J70" s="47"/>
      <c r="K70" s="47"/>
      <c r="L70" s="47"/>
      <c r="M70" s="44"/>
      <c r="N70" s="45"/>
      <c r="O70" s="45"/>
      <c r="P70" s="45"/>
    </row>
    <row r="71" spans="1:16" ht="28.5" x14ac:dyDescent="0.25">
      <c r="A71" s="91"/>
      <c r="B71" s="91"/>
      <c r="C71" s="91"/>
      <c r="D71" s="91"/>
      <c r="E71" s="91"/>
      <c r="F71" s="91"/>
      <c r="G71" s="91"/>
      <c r="H71" s="91"/>
      <c r="I71" s="91"/>
      <c r="J71" s="91"/>
      <c r="K71" s="91"/>
      <c r="L71" s="91"/>
      <c r="M71" s="91"/>
      <c r="N71" s="91"/>
      <c r="O71" s="91"/>
      <c r="P71" s="91"/>
    </row>
    <row r="72" spans="1:16" ht="68.25" customHeight="1" x14ac:dyDescent="0.25">
      <c r="A72" s="95"/>
      <c r="B72" s="95"/>
      <c r="C72" s="95"/>
      <c r="D72" s="95"/>
      <c r="E72" s="95"/>
      <c r="F72" s="95"/>
      <c r="G72" s="95"/>
      <c r="H72" s="95"/>
      <c r="I72" s="95"/>
      <c r="J72" s="95"/>
      <c r="K72" s="95"/>
      <c r="L72" s="95"/>
      <c r="M72" s="95"/>
      <c r="N72" s="95"/>
      <c r="O72" s="95"/>
      <c r="P72" s="95"/>
    </row>
    <row r="73" spans="1:16" x14ac:dyDescent="0.25">
      <c r="A73" s="90"/>
      <c r="B73" s="90"/>
      <c r="C73" s="90"/>
      <c r="D73" s="90"/>
      <c r="E73" s="90"/>
      <c r="F73" s="90"/>
      <c r="G73" s="90"/>
      <c r="H73" s="90"/>
      <c r="I73" s="90"/>
      <c r="J73" s="90"/>
      <c r="K73" s="94"/>
      <c r="L73" s="94"/>
      <c r="M73" s="93"/>
      <c r="N73" s="93"/>
      <c r="O73" s="90"/>
      <c r="P73" s="90"/>
    </row>
    <row r="74" spans="1:16" x14ac:dyDescent="0.25">
      <c r="A74" s="93"/>
      <c r="B74" s="93"/>
      <c r="C74" s="90"/>
      <c r="D74" s="90"/>
      <c r="E74" s="93"/>
      <c r="F74" s="93"/>
      <c r="G74" s="93"/>
      <c r="H74" s="93"/>
      <c r="I74" s="90"/>
      <c r="J74" s="90"/>
      <c r="K74" s="90"/>
      <c r="L74" s="90"/>
      <c r="M74" s="90"/>
      <c r="N74" s="90"/>
      <c r="O74" s="90"/>
      <c r="P74" s="90"/>
    </row>
    <row r="75" spans="1:16" x14ac:dyDescent="0.25">
      <c r="A75" s="46"/>
      <c r="B75" s="39"/>
      <c r="C75" s="38"/>
      <c r="D75" s="39"/>
      <c r="E75" s="40"/>
      <c r="F75" s="41"/>
      <c r="G75" s="38"/>
      <c r="H75" s="38"/>
      <c r="I75" s="40"/>
      <c r="J75" s="42"/>
      <c r="K75" s="39"/>
      <c r="L75" s="39"/>
      <c r="M75" s="40"/>
      <c r="N75" s="41"/>
      <c r="O75" s="38"/>
      <c r="P75" s="38"/>
    </row>
    <row r="76" spans="1:16" x14ac:dyDescent="0.25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</row>
    <row r="77" spans="1:16" ht="130.5" customHeight="1" x14ac:dyDescent="0.25">
      <c r="A77" s="44"/>
      <c r="B77" s="47"/>
      <c r="C77" s="45"/>
      <c r="D77" s="45"/>
      <c r="E77" s="44"/>
      <c r="F77" s="47"/>
      <c r="G77" s="45"/>
      <c r="H77" s="45"/>
      <c r="I77" s="44"/>
      <c r="J77" s="48"/>
      <c r="K77" s="45"/>
      <c r="L77" s="45"/>
      <c r="M77" s="44"/>
      <c r="N77" s="48"/>
      <c r="O77" s="45"/>
      <c r="P77" s="45"/>
    </row>
    <row r="78" spans="1:16" ht="28.5" x14ac:dyDescent="0.25">
      <c r="A78" s="91"/>
      <c r="B78" s="91"/>
      <c r="C78" s="91"/>
      <c r="D78" s="91"/>
      <c r="E78" s="91"/>
      <c r="F78" s="91"/>
      <c r="G78" s="91"/>
      <c r="H78" s="91"/>
      <c r="I78" s="91"/>
      <c r="J78" s="91"/>
      <c r="K78" s="91"/>
      <c r="L78" s="91"/>
      <c r="M78" s="91"/>
      <c r="N78" s="91"/>
      <c r="O78" s="91"/>
      <c r="P78" s="91"/>
    </row>
    <row r="79" spans="1:16" ht="62.25" customHeight="1" x14ac:dyDescent="0.25">
      <c r="A79" s="92"/>
      <c r="B79" s="92"/>
      <c r="C79" s="92"/>
      <c r="D79" s="92"/>
      <c r="E79" s="92"/>
      <c r="F79" s="92"/>
      <c r="G79" s="92"/>
      <c r="H79" s="92"/>
      <c r="I79" s="92"/>
      <c r="J79" s="92"/>
      <c r="K79" s="92"/>
      <c r="L79" s="92"/>
      <c r="M79" s="92"/>
      <c r="N79" s="92"/>
      <c r="O79" s="92"/>
      <c r="P79" s="92"/>
    </row>
    <row r="80" spans="1:16" x14ac:dyDescent="0.25">
      <c r="A80" s="90"/>
      <c r="B80" s="90"/>
      <c r="C80" s="90"/>
      <c r="D80" s="90"/>
      <c r="E80" s="90"/>
      <c r="F80" s="90"/>
      <c r="G80" s="90"/>
      <c r="H80" s="90"/>
      <c r="I80" s="90"/>
      <c r="J80" s="90"/>
      <c r="K80" s="90"/>
      <c r="L80" s="90"/>
      <c r="M80" s="90"/>
      <c r="N80" s="90"/>
      <c r="O80" s="90"/>
      <c r="P80" s="90"/>
    </row>
    <row r="81" spans="1:16" x14ac:dyDescent="0.25">
      <c r="A81" s="90"/>
      <c r="B81" s="90"/>
      <c r="C81" s="90"/>
      <c r="D81" s="90"/>
      <c r="E81" s="90"/>
      <c r="F81" s="90"/>
      <c r="G81" s="90"/>
      <c r="H81" s="90"/>
      <c r="I81" s="90"/>
      <c r="J81" s="90"/>
      <c r="K81" s="90"/>
      <c r="L81" s="90"/>
      <c r="M81" s="90"/>
      <c r="N81" s="90"/>
      <c r="O81" s="90"/>
      <c r="P81" s="90"/>
    </row>
    <row r="82" spans="1:16" x14ac:dyDescent="0.25">
      <c r="A82" s="40"/>
      <c r="B82" s="38"/>
      <c r="C82" s="38"/>
      <c r="D82" s="38"/>
      <c r="E82" s="46"/>
      <c r="F82" s="38"/>
      <c r="G82" s="38"/>
      <c r="H82" s="38"/>
      <c r="I82" s="46"/>
      <c r="J82" s="38"/>
      <c r="K82" s="38"/>
      <c r="L82" s="38"/>
      <c r="M82" s="46"/>
      <c r="N82" s="38"/>
      <c r="O82" s="38"/>
      <c r="P82" s="38"/>
    </row>
    <row r="83" spans="1:16" x14ac:dyDescent="0.25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</row>
    <row r="84" spans="1:16" ht="118.5" customHeight="1" x14ac:dyDescent="0.25">
      <c r="A84" s="44"/>
      <c r="B84" s="45"/>
      <c r="C84" s="45"/>
      <c r="D84" s="45"/>
      <c r="E84" s="44"/>
      <c r="F84" s="45"/>
      <c r="G84" s="45"/>
      <c r="H84" s="45"/>
      <c r="I84" s="44"/>
      <c r="J84" s="47"/>
      <c r="K84" s="47"/>
      <c r="L84" s="47"/>
      <c r="M84" s="44"/>
      <c r="N84" s="45"/>
      <c r="O84" s="45"/>
      <c r="P84" s="45"/>
    </row>
    <row r="85" spans="1:16" ht="28.5" x14ac:dyDescent="0.25">
      <c r="A85" s="91"/>
      <c r="B85" s="91"/>
      <c r="C85" s="91"/>
      <c r="D85" s="91"/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91"/>
      <c r="P85" s="91"/>
    </row>
    <row r="86" spans="1:16" ht="68.25" customHeight="1" x14ac:dyDescent="0.25">
      <c r="A86" s="95"/>
      <c r="B86" s="95"/>
      <c r="C86" s="95"/>
      <c r="D86" s="95"/>
      <c r="E86" s="95"/>
      <c r="F86" s="95"/>
      <c r="G86" s="95"/>
      <c r="H86" s="95"/>
      <c r="I86" s="95"/>
      <c r="J86" s="95"/>
      <c r="K86" s="95"/>
      <c r="L86" s="95"/>
      <c r="M86" s="95"/>
      <c r="N86" s="95"/>
      <c r="O86" s="95"/>
      <c r="P86" s="95"/>
    </row>
    <row r="87" spans="1:16" x14ac:dyDescent="0.25">
      <c r="A87" s="90"/>
      <c r="B87" s="90"/>
      <c r="C87" s="90"/>
      <c r="D87" s="90"/>
      <c r="E87" s="90"/>
      <c r="F87" s="90"/>
      <c r="G87" s="90"/>
      <c r="H87" s="90"/>
      <c r="I87" s="90"/>
      <c r="J87" s="90"/>
      <c r="K87" s="94"/>
      <c r="L87" s="94"/>
      <c r="M87" s="93"/>
      <c r="N87" s="93"/>
      <c r="O87" s="90"/>
      <c r="P87" s="90"/>
    </row>
    <row r="88" spans="1:16" x14ac:dyDescent="0.25">
      <c r="A88" s="93"/>
      <c r="B88" s="93"/>
      <c r="C88" s="90"/>
      <c r="D88" s="90"/>
      <c r="E88" s="93"/>
      <c r="F88" s="93"/>
      <c r="G88" s="93"/>
      <c r="H88" s="93"/>
      <c r="I88" s="90"/>
      <c r="J88" s="90"/>
      <c r="K88" s="90"/>
      <c r="L88" s="90"/>
      <c r="M88" s="90"/>
      <c r="N88" s="90"/>
      <c r="O88" s="90"/>
      <c r="P88" s="90"/>
    </row>
    <row r="89" spans="1:16" x14ac:dyDescent="0.25">
      <c r="A89" s="46"/>
      <c r="B89" s="39"/>
      <c r="C89" s="38"/>
      <c r="D89" s="39"/>
      <c r="E89" s="40"/>
      <c r="F89" s="41"/>
      <c r="G89" s="38"/>
      <c r="H89" s="38"/>
      <c r="I89" s="40"/>
      <c r="J89" s="42"/>
      <c r="K89" s="39"/>
      <c r="L89" s="39"/>
      <c r="M89" s="40"/>
      <c r="N89" s="41"/>
      <c r="O89" s="38"/>
      <c r="P89" s="38"/>
    </row>
    <row r="90" spans="1:16" x14ac:dyDescent="0.25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</row>
    <row r="91" spans="1:16" ht="130.5" customHeight="1" x14ac:dyDescent="0.25">
      <c r="A91" s="44"/>
      <c r="B91" s="47"/>
      <c r="C91" s="45"/>
      <c r="D91" s="45"/>
      <c r="E91" s="44"/>
      <c r="F91" s="47"/>
      <c r="G91" s="45"/>
      <c r="H91" s="45"/>
      <c r="I91" s="44"/>
      <c r="J91" s="48"/>
      <c r="K91" s="45"/>
      <c r="L91" s="45"/>
      <c r="M91" s="44"/>
      <c r="N91" s="48"/>
      <c r="O91" s="45"/>
      <c r="P91" s="45"/>
    </row>
    <row r="92" spans="1:16" ht="28.5" x14ac:dyDescent="0.25">
      <c r="A92" s="91"/>
      <c r="B92" s="91"/>
      <c r="C92" s="91"/>
      <c r="D92" s="91"/>
      <c r="E92" s="91"/>
      <c r="F92" s="91"/>
      <c r="G92" s="91"/>
      <c r="H92" s="91"/>
      <c r="I92" s="91"/>
      <c r="J92" s="91"/>
      <c r="K92" s="91"/>
      <c r="L92" s="91"/>
      <c r="M92" s="91"/>
      <c r="N92" s="91"/>
      <c r="O92" s="91"/>
      <c r="P92" s="91"/>
    </row>
    <row r="93" spans="1:16" ht="64.5" customHeight="1" x14ac:dyDescent="0.25">
      <c r="A93" s="92"/>
      <c r="B93" s="92"/>
      <c r="C93" s="92"/>
      <c r="D93" s="92"/>
      <c r="E93" s="92"/>
      <c r="F93" s="92"/>
      <c r="G93" s="92"/>
      <c r="H93" s="92"/>
      <c r="I93" s="92"/>
      <c r="J93" s="92"/>
      <c r="K93" s="92"/>
      <c r="L93" s="92"/>
      <c r="M93" s="92"/>
      <c r="N93" s="92"/>
      <c r="O93" s="92"/>
      <c r="P93" s="92"/>
    </row>
    <row r="94" spans="1:16" x14ac:dyDescent="0.25">
      <c r="A94" s="90"/>
      <c r="B94" s="90"/>
      <c r="C94" s="90"/>
      <c r="D94" s="90"/>
      <c r="E94" s="90"/>
      <c r="F94" s="90"/>
      <c r="G94" s="90"/>
      <c r="H94" s="90"/>
      <c r="I94" s="90"/>
      <c r="J94" s="90"/>
      <c r="K94" s="90"/>
      <c r="L94" s="90"/>
      <c r="M94" s="90"/>
      <c r="N94" s="90"/>
      <c r="O94" s="90"/>
      <c r="P94" s="90"/>
    </row>
    <row r="95" spans="1:16" x14ac:dyDescent="0.25">
      <c r="A95" s="90"/>
      <c r="B95" s="90"/>
      <c r="C95" s="90"/>
      <c r="D95" s="90"/>
      <c r="E95" s="90"/>
      <c r="F95" s="90"/>
      <c r="G95" s="90"/>
      <c r="H95" s="90"/>
      <c r="I95" s="90"/>
      <c r="J95" s="90"/>
      <c r="K95" s="90"/>
      <c r="L95" s="90"/>
      <c r="M95" s="90"/>
      <c r="N95" s="90"/>
      <c r="O95" s="90"/>
      <c r="P95" s="90"/>
    </row>
    <row r="96" spans="1:16" x14ac:dyDescent="0.25">
      <c r="A96" s="40"/>
      <c r="B96" s="38"/>
      <c r="C96" s="38"/>
      <c r="D96" s="38"/>
      <c r="E96" s="46"/>
      <c r="F96" s="38"/>
      <c r="G96" s="38"/>
      <c r="H96" s="38"/>
      <c r="I96" s="46"/>
      <c r="J96" s="38"/>
      <c r="K96" s="38"/>
      <c r="L96" s="38"/>
      <c r="M96" s="46"/>
      <c r="N96" s="38"/>
      <c r="O96" s="38"/>
      <c r="P96" s="38"/>
    </row>
    <row r="97" spans="1:16" x14ac:dyDescent="0.25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</row>
    <row r="98" spans="1:16" ht="115.5" customHeight="1" x14ac:dyDescent="0.25">
      <c r="A98" s="44"/>
      <c r="B98" s="45"/>
      <c r="C98" s="45"/>
      <c r="D98" s="45"/>
      <c r="E98" s="44"/>
      <c r="F98" s="45"/>
      <c r="G98" s="45"/>
      <c r="H98" s="45"/>
      <c r="I98" s="44"/>
      <c r="J98" s="47"/>
      <c r="K98" s="47"/>
      <c r="L98" s="47"/>
      <c r="M98" s="44"/>
      <c r="N98" s="45"/>
      <c r="O98" s="45"/>
      <c r="P98" s="45"/>
    </row>
    <row r="99" spans="1:16" ht="28.5" x14ac:dyDescent="0.25">
      <c r="A99" s="91"/>
      <c r="B99" s="91"/>
      <c r="C99" s="91"/>
      <c r="D99" s="91"/>
      <c r="E99" s="91"/>
      <c r="F99" s="91"/>
      <c r="G99" s="91"/>
      <c r="H99" s="91"/>
      <c r="I99" s="91"/>
      <c r="J99" s="91"/>
      <c r="K99" s="91"/>
      <c r="L99" s="91"/>
      <c r="M99" s="91"/>
      <c r="N99" s="91"/>
      <c r="O99" s="91"/>
      <c r="P99" s="91"/>
    </row>
    <row r="100" spans="1:16" ht="74.25" customHeight="1" x14ac:dyDescent="0.25">
      <c r="A100" s="95"/>
      <c r="B100" s="95"/>
      <c r="C100" s="95"/>
      <c r="D100" s="95"/>
      <c r="E100" s="95"/>
      <c r="F100" s="95"/>
      <c r="G100" s="95"/>
      <c r="H100" s="95"/>
      <c r="I100" s="95"/>
      <c r="J100" s="95"/>
      <c r="K100" s="95"/>
      <c r="L100" s="95"/>
      <c r="M100" s="95"/>
      <c r="N100" s="95"/>
      <c r="O100" s="95"/>
      <c r="P100" s="95"/>
    </row>
    <row r="101" spans="1:16" x14ac:dyDescent="0.25">
      <c r="A101" s="90"/>
      <c r="B101" s="90"/>
      <c r="C101" s="90"/>
      <c r="D101" s="90"/>
      <c r="E101" s="90"/>
      <c r="F101" s="90"/>
      <c r="G101" s="90"/>
      <c r="H101" s="90"/>
      <c r="I101" s="90"/>
      <c r="J101" s="90"/>
      <c r="K101" s="94"/>
      <c r="L101" s="94"/>
      <c r="M101" s="93"/>
      <c r="N101" s="93"/>
      <c r="O101" s="90"/>
      <c r="P101" s="90"/>
    </row>
    <row r="102" spans="1:16" x14ac:dyDescent="0.25">
      <c r="A102" s="93"/>
      <c r="B102" s="93"/>
      <c r="C102" s="90"/>
      <c r="D102" s="90"/>
      <c r="E102" s="93"/>
      <c r="F102" s="93"/>
      <c r="G102" s="93"/>
      <c r="H102" s="93"/>
      <c r="I102" s="90"/>
      <c r="J102" s="90"/>
      <c r="K102" s="90"/>
      <c r="L102" s="90"/>
      <c r="M102" s="90"/>
      <c r="N102" s="90"/>
      <c r="O102" s="90"/>
      <c r="P102" s="90"/>
    </row>
    <row r="103" spans="1:16" x14ac:dyDescent="0.25">
      <c r="A103" s="46"/>
      <c r="B103" s="39"/>
      <c r="C103" s="38"/>
      <c r="D103" s="39"/>
      <c r="E103" s="40"/>
      <c r="F103" s="41"/>
      <c r="G103" s="38"/>
      <c r="H103" s="38"/>
      <c r="I103" s="40"/>
      <c r="J103" s="42"/>
      <c r="K103" s="39"/>
      <c r="L103" s="39"/>
      <c r="M103" s="40"/>
      <c r="N103" s="41"/>
      <c r="O103" s="38"/>
      <c r="P103" s="38"/>
    </row>
    <row r="104" spans="1:16" x14ac:dyDescent="0.25">
      <c r="A104" s="43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</row>
    <row r="105" spans="1:16" ht="124.5" customHeight="1" x14ac:dyDescent="0.25">
      <c r="A105" s="44"/>
      <c r="B105" s="47"/>
      <c r="C105" s="45"/>
      <c r="D105" s="45"/>
      <c r="E105" s="44"/>
      <c r="F105" s="47"/>
      <c r="G105" s="45"/>
      <c r="H105" s="45"/>
      <c r="I105" s="44"/>
      <c r="J105" s="48"/>
      <c r="K105" s="45"/>
      <c r="L105" s="45"/>
      <c r="M105" s="44"/>
      <c r="N105" s="48"/>
      <c r="O105" s="45"/>
      <c r="P105" s="45"/>
    </row>
    <row r="106" spans="1:16" ht="28.5" x14ac:dyDescent="0.25">
      <c r="A106" s="91"/>
      <c r="B106" s="91"/>
      <c r="C106" s="91"/>
      <c r="D106" s="91"/>
      <c r="E106" s="91"/>
      <c r="F106" s="91"/>
      <c r="G106" s="91"/>
      <c r="H106" s="91"/>
      <c r="I106" s="91"/>
      <c r="J106" s="91"/>
      <c r="K106" s="91"/>
      <c r="L106" s="91"/>
      <c r="M106" s="91"/>
      <c r="N106" s="91"/>
      <c r="O106" s="91"/>
      <c r="P106" s="91"/>
    </row>
    <row r="107" spans="1:16" ht="67.5" customHeight="1" x14ac:dyDescent="0.25">
      <c r="A107" s="92"/>
      <c r="B107" s="92"/>
      <c r="C107" s="92"/>
      <c r="D107" s="92"/>
      <c r="E107" s="92"/>
      <c r="F107" s="92"/>
      <c r="G107" s="92"/>
      <c r="H107" s="92"/>
      <c r="I107" s="92"/>
      <c r="J107" s="92"/>
      <c r="K107" s="92"/>
      <c r="L107" s="92"/>
      <c r="M107" s="92"/>
      <c r="N107" s="92"/>
      <c r="O107" s="92"/>
      <c r="P107" s="92"/>
    </row>
    <row r="108" spans="1:16" x14ac:dyDescent="0.25">
      <c r="A108" s="90"/>
      <c r="B108" s="90"/>
      <c r="C108" s="90"/>
      <c r="D108" s="90"/>
      <c r="E108" s="90"/>
      <c r="F108" s="90"/>
      <c r="G108" s="90"/>
      <c r="H108" s="90"/>
      <c r="I108" s="90"/>
      <c r="J108" s="90"/>
      <c r="K108" s="90"/>
      <c r="L108" s="90"/>
      <c r="M108" s="90"/>
      <c r="N108" s="90"/>
      <c r="O108" s="90"/>
      <c r="P108" s="90"/>
    </row>
    <row r="109" spans="1:16" x14ac:dyDescent="0.25">
      <c r="A109" s="90"/>
      <c r="B109" s="90"/>
      <c r="C109" s="90"/>
      <c r="D109" s="90"/>
      <c r="E109" s="90"/>
      <c r="F109" s="90"/>
      <c r="G109" s="90"/>
      <c r="H109" s="90"/>
      <c r="I109" s="90"/>
      <c r="J109" s="90"/>
      <c r="K109" s="90"/>
      <c r="L109" s="90"/>
      <c r="M109" s="90"/>
      <c r="N109" s="90"/>
      <c r="O109" s="90"/>
      <c r="P109" s="90"/>
    </row>
    <row r="110" spans="1:16" x14ac:dyDescent="0.25">
      <c r="A110" s="40"/>
      <c r="B110" s="38"/>
      <c r="C110" s="38"/>
      <c r="D110" s="38"/>
      <c r="E110" s="46"/>
      <c r="F110" s="38"/>
      <c r="G110" s="38"/>
      <c r="H110" s="38"/>
      <c r="I110" s="46"/>
      <c r="J110" s="38"/>
      <c r="K110" s="38"/>
      <c r="L110" s="38"/>
      <c r="M110" s="46"/>
      <c r="N110" s="38"/>
      <c r="O110" s="38"/>
      <c r="P110" s="38"/>
    </row>
    <row r="111" spans="1:16" x14ac:dyDescent="0.25">
      <c r="A111" s="43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</row>
    <row r="112" spans="1:16" ht="111.75" customHeight="1" x14ac:dyDescent="0.25">
      <c r="A112" s="44"/>
      <c r="B112" s="45"/>
      <c r="C112" s="45"/>
      <c r="D112" s="45"/>
      <c r="E112" s="44"/>
      <c r="F112" s="45"/>
      <c r="G112" s="45"/>
      <c r="H112" s="45"/>
      <c r="I112" s="44"/>
      <c r="J112" s="47"/>
      <c r="K112" s="47"/>
      <c r="L112" s="47"/>
      <c r="M112" s="44"/>
      <c r="N112" s="45"/>
      <c r="O112" s="45"/>
      <c r="P112" s="45"/>
    </row>
    <row r="113" spans="1:16" ht="28.5" x14ac:dyDescent="0.25">
      <c r="A113" s="91"/>
      <c r="B113" s="91"/>
      <c r="C113" s="91"/>
      <c r="D113" s="91"/>
      <c r="E113" s="91"/>
      <c r="F113" s="91"/>
      <c r="G113" s="91"/>
      <c r="H113" s="91"/>
      <c r="I113" s="91"/>
      <c r="J113" s="91"/>
      <c r="K113" s="91"/>
      <c r="L113" s="91"/>
      <c r="M113" s="91"/>
      <c r="N113" s="91"/>
      <c r="O113" s="91"/>
      <c r="P113" s="91"/>
    </row>
    <row r="114" spans="1:16" ht="66" customHeight="1" x14ac:dyDescent="0.25">
      <c r="A114" s="95"/>
      <c r="B114" s="95"/>
      <c r="C114" s="95"/>
      <c r="D114" s="95"/>
      <c r="E114" s="95"/>
      <c r="F114" s="95"/>
      <c r="G114" s="95"/>
      <c r="H114" s="95"/>
      <c r="I114" s="95"/>
      <c r="J114" s="95"/>
      <c r="K114" s="95"/>
      <c r="L114" s="95"/>
      <c r="M114" s="95"/>
      <c r="N114" s="95"/>
      <c r="O114" s="95"/>
      <c r="P114" s="95"/>
    </row>
    <row r="115" spans="1:16" x14ac:dyDescent="0.25">
      <c r="A115" s="90"/>
      <c r="B115" s="90"/>
      <c r="C115" s="90"/>
      <c r="D115" s="90"/>
      <c r="E115" s="90"/>
      <c r="F115" s="90"/>
      <c r="G115" s="90"/>
      <c r="H115" s="90"/>
      <c r="I115" s="90"/>
      <c r="J115" s="90"/>
      <c r="K115" s="94"/>
      <c r="L115" s="94"/>
      <c r="M115" s="93"/>
      <c r="N115" s="93"/>
      <c r="O115" s="90"/>
      <c r="P115" s="90"/>
    </row>
    <row r="116" spans="1:16" x14ac:dyDescent="0.25">
      <c r="A116" s="93"/>
      <c r="B116" s="93"/>
      <c r="C116" s="90"/>
      <c r="D116" s="90"/>
      <c r="E116" s="93"/>
      <c r="F116" s="93"/>
      <c r="G116" s="93"/>
      <c r="H116" s="93"/>
      <c r="I116" s="90"/>
      <c r="J116" s="90"/>
      <c r="K116" s="90"/>
      <c r="L116" s="90"/>
      <c r="M116" s="90"/>
      <c r="N116" s="90"/>
      <c r="O116" s="90"/>
      <c r="P116" s="90"/>
    </row>
    <row r="117" spans="1:16" x14ac:dyDescent="0.25">
      <c r="A117" s="46"/>
      <c r="B117" s="39"/>
      <c r="C117" s="38"/>
      <c r="D117" s="39"/>
      <c r="E117" s="40"/>
      <c r="F117" s="41"/>
      <c r="G117" s="38"/>
      <c r="H117" s="38"/>
      <c r="I117" s="40"/>
      <c r="J117" s="42"/>
      <c r="K117" s="39"/>
      <c r="L117" s="39"/>
      <c r="M117" s="40"/>
      <c r="N117" s="41"/>
      <c r="O117" s="38"/>
      <c r="P117" s="38"/>
    </row>
    <row r="118" spans="1:16" x14ac:dyDescent="0.25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</row>
    <row r="119" spans="1:16" ht="130.5" customHeight="1" x14ac:dyDescent="0.25">
      <c r="A119" s="44"/>
      <c r="B119" s="47"/>
      <c r="C119" s="45"/>
      <c r="D119" s="45"/>
      <c r="E119" s="44"/>
      <c r="F119" s="47"/>
      <c r="G119" s="45"/>
      <c r="H119" s="45"/>
      <c r="I119" s="44"/>
      <c r="J119" s="48"/>
      <c r="K119" s="45"/>
      <c r="L119" s="45"/>
      <c r="M119" s="44"/>
      <c r="N119" s="48"/>
      <c r="O119" s="45"/>
      <c r="P119" s="45"/>
    </row>
    <row r="120" spans="1:16" ht="28.5" x14ac:dyDescent="0.25">
      <c r="A120" s="91"/>
      <c r="B120" s="91"/>
      <c r="C120" s="91"/>
      <c r="D120" s="91"/>
      <c r="E120" s="91"/>
      <c r="F120" s="91"/>
      <c r="G120" s="91"/>
      <c r="H120" s="91"/>
      <c r="I120" s="91"/>
      <c r="J120" s="91"/>
      <c r="K120" s="91"/>
      <c r="L120" s="91"/>
      <c r="M120" s="91"/>
      <c r="N120" s="91"/>
      <c r="O120" s="91"/>
      <c r="P120" s="91"/>
    </row>
    <row r="121" spans="1:16" ht="84.75" x14ac:dyDescent="0.25">
      <c r="A121" s="92"/>
      <c r="B121" s="92"/>
      <c r="C121" s="92"/>
      <c r="D121" s="92"/>
      <c r="E121" s="92"/>
      <c r="F121" s="92"/>
      <c r="G121" s="92"/>
      <c r="H121" s="92"/>
      <c r="I121" s="92"/>
      <c r="J121" s="92"/>
      <c r="K121" s="92"/>
      <c r="L121" s="92"/>
      <c r="M121" s="92"/>
      <c r="N121" s="92"/>
      <c r="O121" s="92"/>
      <c r="P121" s="92"/>
    </row>
    <row r="122" spans="1:16" x14ac:dyDescent="0.25">
      <c r="A122" s="90"/>
      <c r="B122" s="90"/>
      <c r="C122" s="90"/>
      <c r="D122" s="90"/>
      <c r="E122" s="90"/>
      <c r="F122" s="90"/>
      <c r="G122" s="90"/>
      <c r="H122" s="90"/>
      <c r="I122" s="90"/>
      <c r="J122" s="90"/>
      <c r="K122" s="90"/>
      <c r="L122" s="90"/>
      <c r="M122" s="90"/>
      <c r="N122" s="90"/>
      <c r="O122" s="90"/>
      <c r="P122" s="90"/>
    </row>
    <row r="123" spans="1:16" x14ac:dyDescent="0.25">
      <c r="A123" s="90"/>
      <c r="B123" s="90"/>
      <c r="C123" s="90"/>
      <c r="D123" s="90"/>
      <c r="E123" s="90"/>
      <c r="F123" s="90"/>
      <c r="G123" s="90"/>
      <c r="H123" s="90"/>
      <c r="I123" s="90"/>
      <c r="J123" s="90"/>
      <c r="K123" s="90"/>
      <c r="L123" s="90"/>
      <c r="M123" s="90"/>
      <c r="N123" s="90"/>
      <c r="O123" s="90"/>
      <c r="P123" s="90"/>
    </row>
    <row r="124" spans="1:16" x14ac:dyDescent="0.25">
      <c r="A124" s="40"/>
      <c r="B124" s="38"/>
      <c r="C124" s="38"/>
      <c r="D124" s="38"/>
      <c r="E124" s="46"/>
      <c r="F124" s="38"/>
      <c r="G124" s="38"/>
      <c r="H124" s="38"/>
      <c r="I124" s="46"/>
      <c r="J124" s="38"/>
      <c r="K124" s="38"/>
      <c r="L124" s="38"/>
      <c r="M124" s="46"/>
      <c r="N124" s="38"/>
      <c r="O124" s="38"/>
      <c r="P124" s="38"/>
    </row>
    <row r="125" spans="1:16" x14ac:dyDescent="0.25">
      <c r="A125" s="43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</row>
    <row r="126" spans="1:16" ht="105" customHeight="1" x14ac:dyDescent="0.25">
      <c r="A126" s="44"/>
      <c r="B126" s="45"/>
      <c r="C126" s="45"/>
      <c r="D126" s="45"/>
      <c r="E126" s="44"/>
      <c r="F126" s="45"/>
      <c r="G126" s="45"/>
      <c r="H126" s="45"/>
      <c r="I126" s="44"/>
      <c r="J126" s="47"/>
      <c r="K126" s="47"/>
      <c r="L126" s="47"/>
      <c r="M126" s="44"/>
      <c r="N126" s="45"/>
      <c r="O126" s="45"/>
      <c r="P126" s="45"/>
    </row>
    <row r="127" spans="1:16" ht="28.5" x14ac:dyDescent="0.25">
      <c r="A127" s="91"/>
      <c r="B127" s="91"/>
      <c r="C127" s="91"/>
      <c r="D127" s="91"/>
      <c r="E127" s="91"/>
      <c r="F127" s="91"/>
      <c r="G127" s="91"/>
      <c r="H127" s="91"/>
      <c r="I127" s="91"/>
      <c r="J127" s="91"/>
      <c r="K127" s="91"/>
      <c r="L127" s="91"/>
      <c r="M127" s="91"/>
      <c r="N127" s="91"/>
      <c r="O127" s="91"/>
      <c r="P127" s="91"/>
    </row>
    <row r="128" spans="1:16" ht="93" x14ac:dyDescent="0.25">
      <c r="A128" s="95"/>
      <c r="B128" s="95"/>
      <c r="C128" s="95"/>
      <c r="D128" s="95"/>
      <c r="E128" s="95"/>
      <c r="F128" s="95"/>
      <c r="G128" s="95"/>
      <c r="H128" s="95"/>
      <c r="I128" s="95"/>
      <c r="J128" s="95"/>
      <c r="K128" s="95"/>
      <c r="L128" s="95"/>
      <c r="M128" s="95"/>
      <c r="N128" s="95"/>
      <c r="O128" s="95"/>
      <c r="P128" s="95"/>
    </row>
    <row r="129" spans="1:16" x14ac:dyDescent="0.25">
      <c r="A129" s="90"/>
      <c r="B129" s="90"/>
      <c r="C129" s="90"/>
      <c r="D129" s="90"/>
      <c r="E129" s="90"/>
      <c r="F129" s="90"/>
      <c r="G129" s="90"/>
      <c r="H129" s="90"/>
      <c r="I129" s="90"/>
      <c r="J129" s="90"/>
      <c r="K129" s="94"/>
      <c r="L129" s="94"/>
      <c r="M129" s="93"/>
      <c r="N129" s="93"/>
      <c r="O129" s="90"/>
      <c r="P129" s="90"/>
    </row>
    <row r="130" spans="1:16" x14ac:dyDescent="0.25">
      <c r="A130" s="93"/>
      <c r="B130" s="93"/>
      <c r="C130" s="90"/>
      <c r="D130" s="90"/>
      <c r="E130" s="93"/>
      <c r="F130" s="93"/>
      <c r="G130" s="93"/>
      <c r="H130" s="93"/>
      <c r="I130" s="90"/>
      <c r="J130" s="90"/>
      <c r="K130" s="90"/>
      <c r="L130" s="90"/>
      <c r="M130" s="90"/>
      <c r="N130" s="90"/>
      <c r="O130" s="90"/>
      <c r="P130" s="90"/>
    </row>
    <row r="131" spans="1:16" x14ac:dyDescent="0.25">
      <c r="A131" s="46"/>
      <c r="B131" s="39"/>
      <c r="C131" s="38"/>
      <c r="D131" s="39"/>
      <c r="E131" s="40"/>
      <c r="F131" s="41"/>
      <c r="G131" s="38"/>
      <c r="H131" s="38"/>
      <c r="I131" s="40"/>
      <c r="J131" s="42"/>
      <c r="K131" s="39"/>
      <c r="L131" s="39"/>
      <c r="M131" s="40"/>
      <c r="N131" s="41"/>
      <c r="O131" s="38"/>
      <c r="P131" s="38"/>
    </row>
    <row r="132" spans="1:16" x14ac:dyDescent="0.25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</row>
    <row r="133" spans="1:16" ht="104.25" customHeight="1" x14ac:dyDescent="0.25">
      <c r="A133" s="44"/>
      <c r="B133" s="47"/>
      <c r="C133" s="45"/>
      <c r="D133" s="45"/>
      <c r="E133" s="44"/>
      <c r="F133" s="47"/>
      <c r="G133" s="45"/>
      <c r="H133" s="45"/>
      <c r="I133" s="44"/>
      <c r="J133" s="48"/>
      <c r="K133" s="45"/>
      <c r="L133" s="45"/>
      <c r="M133" s="44"/>
      <c r="N133" s="48"/>
      <c r="O133" s="45"/>
      <c r="P133" s="45"/>
    </row>
    <row r="134" spans="1:16" ht="28.5" x14ac:dyDescent="0.25">
      <c r="A134" s="91"/>
      <c r="B134" s="91"/>
      <c r="C134" s="91"/>
      <c r="D134" s="91"/>
      <c r="E134" s="91"/>
      <c r="F134" s="91"/>
      <c r="G134" s="91"/>
      <c r="H134" s="91"/>
      <c r="I134" s="91"/>
      <c r="J134" s="91"/>
      <c r="K134" s="91"/>
      <c r="L134" s="91"/>
      <c r="M134" s="91"/>
      <c r="N134" s="91"/>
      <c r="O134" s="91"/>
      <c r="P134" s="91"/>
    </row>
    <row r="135" spans="1:16" ht="84.75" x14ac:dyDescent="0.25">
      <c r="A135" s="92"/>
      <c r="B135" s="92"/>
      <c r="C135" s="92"/>
      <c r="D135" s="92"/>
      <c r="E135" s="92"/>
      <c r="F135" s="92"/>
      <c r="G135" s="92"/>
      <c r="H135" s="92"/>
      <c r="I135" s="92"/>
      <c r="J135" s="92"/>
      <c r="K135" s="92"/>
      <c r="L135" s="92"/>
      <c r="M135" s="92"/>
      <c r="N135" s="92"/>
      <c r="O135" s="92"/>
      <c r="P135" s="92"/>
    </row>
    <row r="136" spans="1:16" x14ac:dyDescent="0.25">
      <c r="A136" s="90"/>
      <c r="B136" s="90"/>
      <c r="C136" s="90"/>
      <c r="D136" s="90"/>
      <c r="E136" s="90"/>
      <c r="F136" s="90"/>
      <c r="G136" s="90"/>
      <c r="H136" s="90"/>
      <c r="I136" s="90"/>
      <c r="J136" s="90"/>
      <c r="K136" s="90"/>
      <c r="L136" s="90"/>
      <c r="M136" s="90"/>
      <c r="N136" s="90"/>
      <c r="O136" s="90"/>
      <c r="P136" s="90"/>
    </row>
    <row r="137" spans="1:16" x14ac:dyDescent="0.25">
      <c r="A137" s="90"/>
      <c r="B137" s="90"/>
      <c r="C137" s="90"/>
      <c r="D137" s="90"/>
      <c r="E137" s="90"/>
      <c r="F137" s="90"/>
      <c r="G137" s="90"/>
      <c r="H137" s="90"/>
      <c r="I137" s="90"/>
      <c r="J137" s="90"/>
      <c r="K137" s="90"/>
      <c r="L137" s="90"/>
      <c r="M137" s="90"/>
      <c r="N137" s="90"/>
      <c r="O137" s="90"/>
      <c r="P137" s="90"/>
    </row>
    <row r="138" spans="1:16" x14ac:dyDescent="0.25">
      <c r="A138" s="40"/>
      <c r="B138" s="38"/>
      <c r="C138" s="38"/>
      <c r="D138" s="38"/>
      <c r="E138" s="46"/>
      <c r="F138" s="38"/>
      <c r="G138" s="38"/>
      <c r="H138" s="38"/>
      <c r="I138" s="46"/>
      <c r="J138" s="38"/>
      <c r="K138" s="38"/>
      <c r="L138" s="38"/>
      <c r="M138" s="46"/>
      <c r="N138" s="38"/>
      <c r="O138" s="38"/>
      <c r="P138" s="38"/>
    </row>
    <row r="139" spans="1:16" x14ac:dyDescent="0.25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</row>
    <row r="140" spans="1:16" ht="118.5" customHeight="1" x14ac:dyDescent="0.25">
      <c r="A140" s="44"/>
      <c r="B140" s="45"/>
      <c r="C140" s="45"/>
      <c r="D140" s="45"/>
      <c r="E140" s="44"/>
      <c r="F140" s="45"/>
      <c r="G140" s="45"/>
      <c r="H140" s="45"/>
      <c r="I140" s="44"/>
      <c r="J140" s="47"/>
      <c r="K140" s="47"/>
      <c r="L140" s="47"/>
      <c r="M140" s="44"/>
      <c r="N140" s="45"/>
      <c r="O140" s="45"/>
      <c r="P140" s="45"/>
    </row>
  </sheetData>
  <sheetProtection formatCells="0" formatColumns="0" formatRows="0" insertColumns="0" insertRows="0" deleteColumns="0" deleteRows="0"/>
  <mergeCells count="480">
    <mergeCell ref="A1:D1"/>
    <mergeCell ref="E1:H1"/>
    <mergeCell ref="I1:L1"/>
    <mergeCell ref="M1:P1"/>
    <mergeCell ref="A2:D2"/>
    <mergeCell ref="E2:H2"/>
    <mergeCell ref="I2:L2"/>
    <mergeCell ref="M2:P2"/>
    <mergeCell ref="A8:D8"/>
    <mergeCell ref="E8:H8"/>
    <mergeCell ref="I8:L8"/>
    <mergeCell ref="M8:P8"/>
    <mergeCell ref="A9:D9"/>
    <mergeCell ref="E9:H9"/>
    <mergeCell ref="I9:L9"/>
    <mergeCell ref="M9:P9"/>
    <mergeCell ref="M3:N3"/>
    <mergeCell ref="O3:P3"/>
    <mergeCell ref="A4:B4"/>
    <mergeCell ref="C4:D4"/>
    <mergeCell ref="E4:F4"/>
    <mergeCell ref="G4:H4"/>
    <mergeCell ref="I4:J4"/>
    <mergeCell ref="K4:L4"/>
    <mergeCell ref="M4:N4"/>
    <mergeCell ref="O4:P4"/>
    <mergeCell ref="A3:B3"/>
    <mergeCell ref="C3:D3"/>
    <mergeCell ref="E3:F3"/>
    <mergeCell ref="G3:H3"/>
    <mergeCell ref="I3:J3"/>
    <mergeCell ref="K3:L3"/>
    <mergeCell ref="A15:D15"/>
    <mergeCell ref="E15:H15"/>
    <mergeCell ref="I15:L15"/>
    <mergeCell ref="M15:P15"/>
    <mergeCell ref="A16:D16"/>
    <mergeCell ref="E16:H16"/>
    <mergeCell ref="I16:L16"/>
    <mergeCell ref="M16:P16"/>
    <mergeCell ref="M10:N10"/>
    <mergeCell ref="O10:P10"/>
    <mergeCell ref="A11:B11"/>
    <mergeCell ref="C11:D11"/>
    <mergeCell ref="E11:F11"/>
    <mergeCell ref="G11:H11"/>
    <mergeCell ref="I11:J11"/>
    <mergeCell ref="K11:L11"/>
    <mergeCell ref="M11:N11"/>
    <mergeCell ref="O11:P11"/>
    <mergeCell ref="A10:B10"/>
    <mergeCell ref="C10:D10"/>
    <mergeCell ref="E10:F10"/>
    <mergeCell ref="G10:H10"/>
    <mergeCell ref="I10:J10"/>
    <mergeCell ref="K10:L10"/>
    <mergeCell ref="A22:D22"/>
    <mergeCell ref="E22:H22"/>
    <mergeCell ref="I22:L22"/>
    <mergeCell ref="M22:P22"/>
    <mergeCell ref="A23:D23"/>
    <mergeCell ref="E23:H23"/>
    <mergeCell ref="I23:L23"/>
    <mergeCell ref="M23:P23"/>
    <mergeCell ref="M17:N17"/>
    <mergeCell ref="O17:P17"/>
    <mergeCell ref="A18:B18"/>
    <mergeCell ref="C18:D18"/>
    <mergeCell ref="E18:F18"/>
    <mergeCell ref="G18:H18"/>
    <mergeCell ref="I18:J18"/>
    <mergeCell ref="K18:L18"/>
    <mergeCell ref="M18:N18"/>
    <mergeCell ref="O18:P18"/>
    <mergeCell ref="A17:B17"/>
    <mergeCell ref="C17:D17"/>
    <mergeCell ref="E17:F17"/>
    <mergeCell ref="G17:H17"/>
    <mergeCell ref="I17:J17"/>
    <mergeCell ref="K17:L17"/>
    <mergeCell ref="A29:D29"/>
    <mergeCell ref="E29:H29"/>
    <mergeCell ref="I29:L29"/>
    <mergeCell ref="M29:P29"/>
    <mergeCell ref="A30:D30"/>
    <mergeCell ref="E30:H30"/>
    <mergeCell ref="I30:L30"/>
    <mergeCell ref="M30:P30"/>
    <mergeCell ref="M24:N24"/>
    <mergeCell ref="O24:P24"/>
    <mergeCell ref="A25:B25"/>
    <mergeCell ref="C25:D25"/>
    <mergeCell ref="E25:F25"/>
    <mergeCell ref="G25:H25"/>
    <mergeCell ref="I25:J25"/>
    <mergeCell ref="K25:L25"/>
    <mergeCell ref="M25:N25"/>
    <mergeCell ref="O25:P25"/>
    <mergeCell ref="A24:B24"/>
    <mergeCell ref="C24:D24"/>
    <mergeCell ref="E24:F24"/>
    <mergeCell ref="G24:H24"/>
    <mergeCell ref="I24:J24"/>
    <mergeCell ref="K24:L24"/>
    <mergeCell ref="A36:D36"/>
    <mergeCell ref="E36:H36"/>
    <mergeCell ref="I36:L36"/>
    <mergeCell ref="M36:P36"/>
    <mergeCell ref="A37:D37"/>
    <mergeCell ref="E37:H37"/>
    <mergeCell ref="I37:L37"/>
    <mergeCell ref="M37:P37"/>
    <mergeCell ref="M31:N31"/>
    <mergeCell ref="O31:P31"/>
    <mergeCell ref="A32:B32"/>
    <mergeCell ref="C32:D32"/>
    <mergeCell ref="E32:F32"/>
    <mergeCell ref="G32:H32"/>
    <mergeCell ref="I32:J32"/>
    <mergeCell ref="K32:L32"/>
    <mergeCell ref="M32:N32"/>
    <mergeCell ref="O32:P32"/>
    <mergeCell ref="A31:B31"/>
    <mergeCell ref="C31:D31"/>
    <mergeCell ref="E31:F31"/>
    <mergeCell ref="G31:H31"/>
    <mergeCell ref="I31:J31"/>
    <mergeCell ref="K31:L31"/>
    <mergeCell ref="A43:D43"/>
    <mergeCell ref="E43:H43"/>
    <mergeCell ref="I43:L43"/>
    <mergeCell ref="M43:P43"/>
    <mergeCell ref="A44:D44"/>
    <mergeCell ref="E44:H44"/>
    <mergeCell ref="I44:L44"/>
    <mergeCell ref="M44:P44"/>
    <mergeCell ref="M38:N38"/>
    <mergeCell ref="O38:P38"/>
    <mergeCell ref="A39:B39"/>
    <mergeCell ref="C39:D39"/>
    <mergeCell ref="E39:F39"/>
    <mergeCell ref="G39:H39"/>
    <mergeCell ref="I39:J39"/>
    <mergeCell ref="K39:L39"/>
    <mergeCell ref="M39:N39"/>
    <mergeCell ref="O39:P39"/>
    <mergeCell ref="A38:B38"/>
    <mergeCell ref="C38:D38"/>
    <mergeCell ref="E38:F38"/>
    <mergeCell ref="G38:H38"/>
    <mergeCell ref="I38:J38"/>
    <mergeCell ref="K38:L38"/>
    <mergeCell ref="A50:D50"/>
    <mergeCell ref="E50:H50"/>
    <mergeCell ref="I50:L50"/>
    <mergeCell ref="M50:P50"/>
    <mergeCell ref="A51:D51"/>
    <mergeCell ref="E51:H51"/>
    <mergeCell ref="I51:L51"/>
    <mergeCell ref="M51:P51"/>
    <mergeCell ref="M45:N45"/>
    <mergeCell ref="O45:P45"/>
    <mergeCell ref="A46:B46"/>
    <mergeCell ref="C46:D46"/>
    <mergeCell ref="E46:F46"/>
    <mergeCell ref="G46:H46"/>
    <mergeCell ref="I46:J46"/>
    <mergeCell ref="K46:L46"/>
    <mergeCell ref="M46:N46"/>
    <mergeCell ref="O46:P46"/>
    <mergeCell ref="A45:B45"/>
    <mergeCell ref="C45:D45"/>
    <mergeCell ref="E45:F45"/>
    <mergeCell ref="G45:H45"/>
    <mergeCell ref="I45:J45"/>
    <mergeCell ref="K45:L45"/>
    <mergeCell ref="A57:D57"/>
    <mergeCell ref="E57:H57"/>
    <mergeCell ref="I57:L57"/>
    <mergeCell ref="M57:P57"/>
    <mergeCell ref="A58:D58"/>
    <mergeCell ref="E58:H58"/>
    <mergeCell ref="I58:L58"/>
    <mergeCell ref="M58:P58"/>
    <mergeCell ref="M52:N52"/>
    <mergeCell ref="O52:P52"/>
    <mergeCell ref="A53:B53"/>
    <mergeCell ref="C53:D53"/>
    <mergeCell ref="E53:F53"/>
    <mergeCell ref="G53:H53"/>
    <mergeCell ref="I53:J53"/>
    <mergeCell ref="K53:L53"/>
    <mergeCell ref="M53:N53"/>
    <mergeCell ref="O53:P53"/>
    <mergeCell ref="A52:B52"/>
    <mergeCell ref="C52:D52"/>
    <mergeCell ref="E52:F52"/>
    <mergeCell ref="G52:H52"/>
    <mergeCell ref="I52:J52"/>
    <mergeCell ref="K52:L52"/>
    <mergeCell ref="A64:D64"/>
    <mergeCell ref="E64:H64"/>
    <mergeCell ref="I64:L64"/>
    <mergeCell ref="M64:P64"/>
    <mergeCell ref="A65:D65"/>
    <mergeCell ref="E65:H65"/>
    <mergeCell ref="I65:L65"/>
    <mergeCell ref="M65:P65"/>
    <mergeCell ref="M59:N59"/>
    <mergeCell ref="O59:P59"/>
    <mergeCell ref="A60:B60"/>
    <mergeCell ref="C60:D60"/>
    <mergeCell ref="E60:F60"/>
    <mergeCell ref="G60:H60"/>
    <mergeCell ref="I60:J60"/>
    <mergeCell ref="K60:L60"/>
    <mergeCell ref="M60:N60"/>
    <mergeCell ref="O60:P60"/>
    <mergeCell ref="A59:B59"/>
    <mergeCell ref="C59:D59"/>
    <mergeCell ref="E59:F59"/>
    <mergeCell ref="G59:H59"/>
    <mergeCell ref="I59:J59"/>
    <mergeCell ref="K59:L59"/>
    <mergeCell ref="A71:D71"/>
    <mergeCell ref="E71:H71"/>
    <mergeCell ref="I71:L71"/>
    <mergeCell ref="M71:P71"/>
    <mergeCell ref="A72:D72"/>
    <mergeCell ref="E72:H72"/>
    <mergeCell ref="I72:L72"/>
    <mergeCell ref="M72:P72"/>
    <mergeCell ref="M66:N66"/>
    <mergeCell ref="O66:P66"/>
    <mergeCell ref="A67:B67"/>
    <mergeCell ref="C67:D67"/>
    <mergeCell ref="E67:F67"/>
    <mergeCell ref="G67:H67"/>
    <mergeCell ref="I67:J67"/>
    <mergeCell ref="K67:L67"/>
    <mergeCell ref="M67:N67"/>
    <mergeCell ref="O67:P67"/>
    <mergeCell ref="A66:B66"/>
    <mergeCell ref="C66:D66"/>
    <mergeCell ref="E66:F66"/>
    <mergeCell ref="G66:H66"/>
    <mergeCell ref="I66:J66"/>
    <mergeCell ref="K66:L66"/>
    <mergeCell ref="A78:D78"/>
    <mergeCell ref="E78:H78"/>
    <mergeCell ref="I78:L78"/>
    <mergeCell ref="M78:P78"/>
    <mergeCell ref="A79:D79"/>
    <mergeCell ref="E79:H79"/>
    <mergeCell ref="I79:L79"/>
    <mergeCell ref="M79:P79"/>
    <mergeCell ref="M73:N73"/>
    <mergeCell ref="O73:P73"/>
    <mergeCell ref="A74:B74"/>
    <mergeCell ref="C74:D74"/>
    <mergeCell ref="E74:F74"/>
    <mergeCell ref="G74:H74"/>
    <mergeCell ref="I74:J74"/>
    <mergeCell ref="K74:L74"/>
    <mergeCell ref="M74:N74"/>
    <mergeCell ref="O74:P74"/>
    <mergeCell ref="A73:B73"/>
    <mergeCell ref="C73:D73"/>
    <mergeCell ref="E73:F73"/>
    <mergeCell ref="G73:H73"/>
    <mergeCell ref="I73:J73"/>
    <mergeCell ref="K73:L73"/>
    <mergeCell ref="A85:D85"/>
    <mergeCell ref="E85:H85"/>
    <mergeCell ref="I85:L85"/>
    <mergeCell ref="M85:P85"/>
    <mergeCell ref="A86:D86"/>
    <mergeCell ref="E86:H86"/>
    <mergeCell ref="I86:L86"/>
    <mergeCell ref="M86:P86"/>
    <mergeCell ref="M80:N80"/>
    <mergeCell ref="O80:P80"/>
    <mergeCell ref="A81:B81"/>
    <mergeCell ref="C81:D81"/>
    <mergeCell ref="E81:F81"/>
    <mergeCell ref="G81:H81"/>
    <mergeCell ref="I81:J81"/>
    <mergeCell ref="K81:L81"/>
    <mergeCell ref="M81:N81"/>
    <mergeCell ref="O81:P81"/>
    <mergeCell ref="A80:B80"/>
    <mergeCell ref="C80:D80"/>
    <mergeCell ref="E80:F80"/>
    <mergeCell ref="G80:H80"/>
    <mergeCell ref="I80:J80"/>
    <mergeCell ref="K80:L80"/>
    <mergeCell ref="A92:D92"/>
    <mergeCell ref="E92:H92"/>
    <mergeCell ref="I92:L92"/>
    <mergeCell ref="M92:P92"/>
    <mergeCell ref="A93:D93"/>
    <mergeCell ref="E93:H93"/>
    <mergeCell ref="I93:L93"/>
    <mergeCell ref="M93:P93"/>
    <mergeCell ref="M87:N87"/>
    <mergeCell ref="O87:P87"/>
    <mergeCell ref="A88:B88"/>
    <mergeCell ref="C88:D88"/>
    <mergeCell ref="E88:F88"/>
    <mergeCell ref="G88:H88"/>
    <mergeCell ref="I88:J88"/>
    <mergeCell ref="K88:L88"/>
    <mergeCell ref="M88:N88"/>
    <mergeCell ref="O88:P88"/>
    <mergeCell ref="A87:B87"/>
    <mergeCell ref="C87:D87"/>
    <mergeCell ref="E87:F87"/>
    <mergeCell ref="G87:H87"/>
    <mergeCell ref="I87:J87"/>
    <mergeCell ref="K87:L87"/>
    <mergeCell ref="A99:D99"/>
    <mergeCell ref="E99:H99"/>
    <mergeCell ref="I99:L99"/>
    <mergeCell ref="M99:P99"/>
    <mergeCell ref="A100:D100"/>
    <mergeCell ref="E100:H100"/>
    <mergeCell ref="I100:L100"/>
    <mergeCell ref="M100:P100"/>
    <mergeCell ref="M94:N94"/>
    <mergeCell ref="O94:P94"/>
    <mergeCell ref="A95:B95"/>
    <mergeCell ref="C95:D95"/>
    <mergeCell ref="E95:F95"/>
    <mergeCell ref="G95:H95"/>
    <mergeCell ref="I95:J95"/>
    <mergeCell ref="K95:L95"/>
    <mergeCell ref="M95:N95"/>
    <mergeCell ref="O95:P95"/>
    <mergeCell ref="A94:B94"/>
    <mergeCell ref="C94:D94"/>
    <mergeCell ref="E94:F94"/>
    <mergeCell ref="G94:H94"/>
    <mergeCell ref="I94:J94"/>
    <mergeCell ref="K94:L94"/>
    <mergeCell ref="A106:D106"/>
    <mergeCell ref="E106:H106"/>
    <mergeCell ref="I106:L106"/>
    <mergeCell ref="M106:P106"/>
    <mergeCell ref="A107:D107"/>
    <mergeCell ref="E107:H107"/>
    <mergeCell ref="I107:L107"/>
    <mergeCell ref="M107:P107"/>
    <mergeCell ref="M101:N101"/>
    <mergeCell ref="O101:P101"/>
    <mergeCell ref="A102:B102"/>
    <mergeCell ref="C102:D102"/>
    <mergeCell ref="E102:F102"/>
    <mergeCell ref="G102:H102"/>
    <mergeCell ref="I102:J102"/>
    <mergeCell ref="K102:L102"/>
    <mergeCell ref="M102:N102"/>
    <mergeCell ref="O102:P102"/>
    <mergeCell ref="A101:B101"/>
    <mergeCell ref="C101:D101"/>
    <mergeCell ref="E101:F101"/>
    <mergeCell ref="G101:H101"/>
    <mergeCell ref="I101:J101"/>
    <mergeCell ref="K101:L101"/>
    <mergeCell ref="A113:D113"/>
    <mergeCell ref="E113:H113"/>
    <mergeCell ref="I113:L113"/>
    <mergeCell ref="M113:P113"/>
    <mergeCell ref="A114:D114"/>
    <mergeCell ref="E114:H114"/>
    <mergeCell ref="I114:L114"/>
    <mergeCell ref="M114:P114"/>
    <mergeCell ref="M108:N108"/>
    <mergeCell ref="O108:P108"/>
    <mergeCell ref="A109:B109"/>
    <mergeCell ref="C109:D109"/>
    <mergeCell ref="E109:F109"/>
    <mergeCell ref="G109:H109"/>
    <mergeCell ref="I109:J109"/>
    <mergeCell ref="K109:L109"/>
    <mergeCell ref="M109:N109"/>
    <mergeCell ref="O109:P109"/>
    <mergeCell ref="A108:B108"/>
    <mergeCell ref="C108:D108"/>
    <mergeCell ref="E108:F108"/>
    <mergeCell ref="G108:H108"/>
    <mergeCell ref="I108:J108"/>
    <mergeCell ref="K108:L108"/>
    <mergeCell ref="A120:D120"/>
    <mergeCell ref="E120:H120"/>
    <mergeCell ref="I120:L120"/>
    <mergeCell ref="M120:P120"/>
    <mergeCell ref="A121:D121"/>
    <mergeCell ref="E121:H121"/>
    <mergeCell ref="I121:L121"/>
    <mergeCell ref="M121:P121"/>
    <mergeCell ref="M115:N115"/>
    <mergeCell ref="O115:P115"/>
    <mergeCell ref="A116:B116"/>
    <mergeCell ref="C116:D116"/>
    <mergeCell ref="E116:F116"/>
    <mergeCell ref="G116:H116"/>
    <mergeCell ref="I116:J116"/>
    <mergeCell ref="K116:L116"/>
    <mergeCell ref="M116:N116"/>
    <mergeCell ref="O116:P116"/>
    <mergeCell ref="A115:B115"/>
    <mergeCell ref="C115:D115"/>
    <mergeCell ref="E115:F115"/>
    <mergeCell ref="G115:H115"/>
    <mergeCell ref="I115:J115"/>
    <mergeCell ref="K115:L115"/>
    <mergeCell ref="A127:D127"/>
    <mergeCell ref="E127:H127"/>
    <mergeCell ref="I127:L127"/>
    <mergeCell ref="M127:P127"/>
    <mergeCell ref="A128:D128"/>
    <mergeCell ref="E128:H128"/>
    <mergeCell ref="I128:L128"/>
    <mergeCell ref="M128:P128"/>
    <mergeCell ref="M122:N122"/>
    <mergeCell ref="O122:P122"/>
    <mergeCell ref="A123:B123"/>
    <mergeCell ref="C123:D123"/>
    <mergeCell ref="E123:F123"/>
    <mergeCell ref="G123:H123"/>
    <mergeCell ref="I123:J123"/>
    <mergeCell ref="K123:L123"/>
    <mergeCell ref="M123:N123"/>
    <mergeCell ref="O123:P123"/>
    <mergeCell ref="A122:B122"/>
    <mergeCell ref="C122:D122"/>
    <mergeCell ref="E122:F122"/>
    <mergeCell ref="G122:H122"/>
    <mergeCell ref="I122:J122"/>
    <mergeCell ref="K122:L122"/>
    <mergeCell ref="A134:D134"/>
    <mergeCell ref="E134:H134"/>
    <mergeCell ref="I134:L134"/>
    <mergeCell ref="M134:P134"/>
    <mergeCell ref="A135:D135"/>
    <mergeCell ref="E135:H135"/>
    <mergeCell ref="I135:L135"/>
    <mergeCell ref="M135:P135"/>
    <mergeCell ref="M129:N129"/>
    <mergeCell ref="O129:P129"/>
    <mergeCell ref="A130:B130"/>
    <mergeCell ref="C130:D130"/>
    <mergeCell ref="E130:F130"/>
    <mergeCell ref="G130:H130"/>
    <mergeCell ref="I130:J130"/>
    <mergeCell ref="K130:L130"/>
    <mergeCell ref="M130:N130"/>
    <mergeCell ref="O130:P130"/>
    <mergeCell ref="A129:B129"/>
    <mergeCell ref="C129:D129"/>
    <mergeCell ref="E129:F129"/>
    <mergeCell ref="G129:H129"/>
    <mergeCell ref="I129:J129"/>
    <mergeCell ref="K129:L129"/>
    <mergeCell ref="M136:N136"/>
    <mergeCell ref="O136:P136"/>
    <mergeCell ref="A137:B137"/>
    <mergeCell ref="C137:D137"/>
    <mergeCell ref="E137:F137"/>
    <mergeCell ref="G137:H137"/>
    <mergeCell ref="I137:J137"/>
    <mergeCell ref="K137:L137"/>
    <mergeCell ref="M137:N137"/>
    <mergeCell ref="O137:P137"/>
    <mergeCell ref="A136:B136"/>
    <mergeCell ref="C136:D136"/>
    <mergeCell ref="E136:F136"/>
    <mergeCell ref="G136:H136"/>
    <mergeCell ref="I136:J136"/>
    <mergeCell ref="K136:L136"/>
  </mergeCells>
  <pageMargins left="0" right="0" top="0" bottom="0" header="0" footer="0"/>
  <pageSetup paperSize="9" scale="68" fitToHeight="0" orientation="portrait" r:id="rId1"/>
  <headerFooter scaleWithDoc="0" alignWithMargins="0">
    <oddFooter>Page &amp;P&amp;R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56AA7-9ED0-4549-851B-C84126028074}">
  <dimension ref="A1"/>
  <sheetViews>
    <sheetView workbookViewId="0">
      <selection activeCell="G26" sqref="G26"/>
    </sheetView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DBB3C0935FAC48B38F76E8A955E860" ma:contentTypeVersion="3" ma:contentTypeDescription="Crée un document." ma:contentTypeScope="" ma:versionID="d2d57f7a74978d30256aade54e273cb3">
  <xsd:schema xmlns:xsd="http://www.w3.org/2001/XMLSchema" xmlns:xs="http://www.w3.org/2001/XMLSchema" xmlns:p="http://schemas.microsoft.com/office/2006/metadata/properties" xmlns:ns2="c6fdbe78-6ba8-4c44-8624-137678df90a6" targetNamespace="http://schemas.microsoft.com/office/2006/metadata/properties" ma:root="true" ma:fieldsID="3d5b904800e45f61a3fe7b614f4b64da" ns2:_="">
    <xsd:import namespace="c6fdbe78-6ba8-4c44-8624-137678df90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fdbe78-6ba8-4c44-8624-137678df90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0.xml>��
</file>

<file path=customXml/itemProps1.xml><?xml version="1.0" encoding="utf-8"?>
<ds:datastoreItem xmlns:ds="http://schemas.openxmlformats.org/officeDocument/2006/customXml" ds:itemID="{A8D6471D-608C-423E-AB10-A2396F185877}">
  <ds:schemaRefs/>
</ds:datastoreItem>
</file>

<file path=customXml/itemProps2.xml><?xml version="1.0" encoding="utf-8"?>
<ds:datastoreItem xmlns:ds="http://schemas.openxmlformats.org/officeDocument/2006/customXml" ds:itemID="{18B5049F-6E28-4AB2-825A-BFA26970332A}">
  <ds:schemaRefs/>
</ds:datastoreItem>
</file>

<file path=customXml/itemProps3.xml><?xml version="1.0" encoding="utf-8"?>
<ds:datastoreItem xmlns:ds="http://schemas.openxmlformats.org/officeDocument/2006/customXml" ds:itemID="{FA651FD0-26E3-4130-B7DB-3883C3B70B29}">
  <ds:schemaRefs/>
</ds:datastoreItem>
</file>

<file path=customXml/itemProps4.xml><?xml version="1.0" encoding="utf-8"?>
<ds:datastoreItem xmlns:ds="http://schemas.openxmlformats.org/officeDocument/2006/customXml" ds:itemID="{7E9B1547-0445-4432-BAC2-9FC00B36475C}">
  <ds:schemaRefs>
    <ds:schemaRef ds:uri="http://schemas.microsoft.com/office/infopath/2007/PartnerControls"/>
    <ds:schemaRef ds:uri="http://schemas.microsoft.com/office/2006/documentManagement/types"/>
    <ds:schemaRef ds:uri="http://purl.org/dc/terms/"/>
    <ds:schemaRef ds:uri="http://www.w3.org/XML/1998/namespace"/>
    <ds:schemaRef ds:uri="http://schemas.microsoft.com/office/2006/metadata/properties"/>
    <ds:schemaRef ds:uri="http://purl.org/dc/dcmitype/"/>
    <ds:schemaRef ds:uri="http://schemas.openxmlformats.org/package/2006/metadata/core-properties"/>
    <ds:schemaRef ds:uri="c6fdbe78-6ba8-4c44-8624-137678df90a6"/>
    <ds:schemaRef ds:uri="http://purl.org/dc/elements/1.1/"/>
  </ds:schemaRefs>
</ds:datastoreItem>
</file>

<file path=customXml/itemProps5.xml><?xml version="1.0" encoding="utf-8"?>
<ds:datastoreItem xmlns:ds="http://schemas.openxmlformats.org/officeDocument/2006/customXml" ds:itemID="{6B7566B8-1F7D-425D-B067-9461A25D9F92}">
  <ds:schemaRefs/>
</ds:datastoreItem>
</file>

<file path=customXml/itemProps6.xml><?xml version="1.0" encoding="utf-8"?>
<ds:datastoreItem xmlns:ds="http://schemas.openxmlformats.org/officeDocument/2006/customXml" ds:itemID="{290C6ABC-083D-4E91-8E63-9FC45461CA29}">
  <ds:schemaRefs/>
</ds:datastoreItem>
</file>

<file path=customXml/itemProps7.xml><?xml version="1.0" encoding="utf-8"?>
<ds:datastoreItem xmlns:ds="http://schemas.openxmlformats.org/officeDocument/2006/customXml" ds:itemID="{26AE45DD-5589-4D58-8711-42BBB015E8E9}">
  <ds:schemaRefs/>
</ds:datastoreItem>
</file>

<file path=customXml/itemProps8.xml><?xml version="1.0" encoding="utf-8"?>
<ds:datastoreItem xmlns:ds="http://schemas.openxmlformats.org/officeDocument/2006/customXml" ds:itemID="{7CAA254A-DA65-4600-AEAB-2D287DF649B5}">
  <ds:schemaRefs/>
</ds:datastoreItem>
</file>

<file path=customXml/itemProps9.xml><?xml version="1.0" encoding="utf-8"?>
<ds:datastoreItem xmlns:ds="http://schemas.openxmlformats.org/officeDocument/2006/customXml" ds:itemID="{91BE6FA5-C64B-40F3-A237-599A58B9028B}">
  <ds:schemaRefs/>
</ds:datastoreItem>
</file>

<file path=customXml/itemProps10.xml><?xml version="1.0" encoding="utf-8"?>
<ds:datastoreItem xmlns:ds="http://schemas.openxmlformats.org/officeDocument/2006/customXml" ds:itemID="{E00CE355-AF12-4475-A1C9-FC1DBCA79A32}">
  <ds:schemaRefs/>
</ds:datastoreItem>
</file>

<file path=customXml/itemProps11.xml><?xml version="1.0" encoding="utf-8"?>
<ds:datastoreItem xmlns:ds="http://schemas.openxmlformats.org/officeDocument/2006/customXml" ds:itemID="{3BC18339-EF00-4562-9374-BB6CAEFD59CE}">
  <ds:schemaRefs/>
</ds:datastoreItem>
</file>

<file path=customXml/itemProps12.xml><?xml version="1.0" encoding="utf-8"?>
<ds:datastoreItem xmlns:ds="http://schemas.openxmlformats.org/officeDocument/2006/customXml" ds:itemID="{8FDFF484-A7DA-41E0-81C3-8B5F475B36D4}">
  <ds:schemaRefs>
    <ds:schemaRef ds:uri="http://schemas.microsoft.com/sharepoint/v3/contenttype/forms"/>
  </ds:schemaRefs>
</ds:datastoreItem>
</file>

<file path=customXml/itemProps13.xml><?xml version="1.0" encoding="utf-8"?>
<ds:datastoreItem xmlns:ds="http://schemas.openxmlformats.org/officeDocument/2006/customXml" ds:itemID="{3E529557-C944-4E11-85F4-62E568916D59}">
  <ds:schemaRefs/>
</ds:datastoreItem>
</file>

<file path=customXml/itemProps14.xml><?xml version="1.0" encoding="utf-8"?>
<ds:datastoreItem xmlns:ds="http://schemas.openxmlformats.org/officeDocument/2006/customXml" ds:itemID="{E26E860C-406E-4567-ADCE-7D1708DE4C0C}">
  <ds:schemaRefs>
    <ds:schemaRef ds:uri="http://schemas.microsoft.com/DataMashup"/>
  </ds:schemaRefs>
</ds:datastoreItem>
</file>

<file path=customXml/itemProps15.xml><?xml version="1.0" encoding="utf-8"?>
<ds:datastoreItem xmlns:ds="http://schemas.openxmlformats.org/officeDocument/2006/customXml" ds:itemID="{91C320C4-C43C-47E0-B75C-3575DBA7612E}">
  <ds:schemaRefs/>
</ds:datastoreItem>
</file>

<file path=customXml/itemProps16.xml><?xml version="1.0" encoding="utf-8"?>
<ds:datastoreItem xmlns:ds="http://schemas.openxmlformats.org/officeDocument/2006/customXml" ds:itemID="{63DB834C-ED59-472F-A54A-5DE4788455DE}">
  <ds:schemaRefs/>
</ds:datastoreItem>
</file>

<file path=customXml/itemProps17.xml><?xml version="1.0" encoding="utf-8"?>
<ds:datastoreItem xmlns:ds="http://schemas.openxmlformats.org/officeDocument/2006/customXml" ds:itemID="{29E7D24F-655A-4100-8D8C-F58051DF01E8}">
  <ds:schemaRefs/>
</ds:datastoreItem>
</file>

<file path=customXml/itemProps18.xml><?xml version="1.0" encoding="utf-8"?>
<ds:datastoreItem xmlns:ds="http://schemas.openxmlformats.org/officeDocument/2006/customXml" ds:itemID="{1B6C973B-8ABC-4216-8DE2-CDDEE6D64016}">
  <ds:schemaRefs/>
</ds:datastoreItem>
</file>

<file path=customXml/itemProps19.xml><?xml version="1.0" encoding="utf-8"?>
<ds:datastoreItem xmlns:ds="http://schemas.openxmlformats.org/officeDocument/2006/customXml" ds:itemID="{14225509-4861-40A9-9109-5B40764835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fdbe78-6ba8-4c44-8624-137678df90a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0.xml><?xml version="1.0" encoding="utf-8"?>
<ds:datastoreItem xmlns:ds="http://schemas.openxmlformats.org/officeDocument/2006/customXml" ds:itemID="{9CC1AD8D-48E9-4C1B-A0E5-AA973566273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Fourniture</vt:lpstr>
      <vt:lpstr>Matière première</vt:lpstr>
      <vt:lpstr>Stock par Entrepot</vt:lpstr>
      <vt:lpstr>Vignette Mp</vt:lpstr>
      <vt:lpstr>Vignette Fourniture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HAMDI SGHAIER</dc:creator>
  <cp:keywords/>
  <dc:description/>
  <cp:lastModifiedBy>HAMDI SGHAIER</cp:lastModifiedBy>
  <cp:revision/>
  <cp:lastPrinted>2025-10-09T09:09:02Z</cp:lastPrinted>
  <dcterms:created xsi:type="dcterms:W3CDTF">2025-10-02T22:24:29Z</dcterms:created>
  <dcterms:modified xsi:type="dcterms:W3CDTF">2025-10-18T08:53:41Z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0x0101009BDBB3C0935FAC48B38F76E8A955E860</vt:lpwstr>
  </property>
</Properties>
</file>